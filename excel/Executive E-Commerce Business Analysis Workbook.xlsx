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1753" documentId="11_E60897F41BE170836B02CE998F75CCDC64E183C8" xr6:coauthVersionLast="47" xr6:coauthVersionMax="47" xr10:uidLastSave="{F8A67B31-D738-4DDB-A2AA-F1DAB0699A63}"/>
  <bookViews>
    <workbookView xWindow="240" yWindow="105" windowWidth="14805" windowHeight="8010" firstSheet="5" activeTab="5" xr2:uid="{00000000-000D-0000-FFFF-FFFF00000000}"/>
  </bookViews>
  <sheets>
    <sheet name="Home" sheetId="1" r:id="rId1"/>
    <sheet name="Executive KPI Review" sheetId="2" r:id="rId2"/>
    <sheet name="Customer Investigation" sheetId="3" r:id="rId3"/>
    <sheet name="Category Investigation" sheetId="4" r:id="rId4"/>
    <sheet name="Operations Investigation" sheetId="5" r:id="rId5"/>
    <sheet name="Decision Suppor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" i="2" l="1"/>
  <c r="B14" i="2"/>
  <c r="C14" i="2"/>
  <c r="D14" i="2" s="1"/>
  <c r="C9" i="2"/>
  <c r="B7" i="6"/>
  <c r="Z71" i="5"/>
  <c r="Z70" i="5"/>
  <c r="Z69" i="5"/>
  <c r="Z68" i="5"/>
  <c r="Z67" i="5"/>
  <c r="Z66" i="5"/>
  <c r="Z65" i="5"/>
  <c r="Z64" i="5"/>
  <c r="Z63" i="5"/>
  <c r="Z62" i="5"/>
  <c r="K62" i="5" a="1"/>
  <c r="E9" i="5"/>
  <c r="H7" i="6" s="1"/>
  <c r="C9" i="5"/>
  <c r="F7" i="6" s="1"/>
  <c r="A9" i="5"/>
  <c r="I59" i="4" a="1"/>
  <c r="I59" i="4" s="1"/>
  <c r="E9" i="4"/>
  <c r="A9" i="4"/>
  <c r="A9" i="3"/>
  <c r="E9" i="3"/>
  <c r="C9" i="3"/>
  <c r="E9" i="2"/>
  <c r="G9" i="2"/>
  <c r="B15" i="2"/>
  <c r="B16" i="2"/>
  <c r="C15" i="2"/>
  <c r="C16" i="2"/>
  <c r="D15" i="2"/>
  <c r="D16" i="2"/>
  <c r="D7" i="6"/>
  <c r="K62" i="5" l="1"/>
  <c r="U66" i="5"/>
  <c r="V66" i="5" s="1"/>
  <c r="U65" i="5"/>
  <c r="V65" i="5" s="1"/>
  <c r="U69" i="5"/>
  <c r="V69" i="5" s="1"/>
  <c r="U63" i="5"/>
  <c r="V63" i="5" s="1"/>
  <c r="U64" i="5"/>
  <c r="V64" i="5" s="1"/>
  <c r="U70" i="5"/>
  <c r="V70" i="5" s="1"/>
  <c r="U67" i="5"/>
  <c r="V67" i="5" s="1"/>
  <c r="U71" i="5"/>
  <c r="V71" i="5" s="1"/>
  <c r="U68" i="5"/>
  <c r="V68" i="5" s="1"/>
  <c r="N67" i="5"/>
  <c r="O67" i="5" s="1"/>
  <c r="N71" i="5"/>
  <c r="O71" i="5" s="1"/>
  <c r="N63" i="5"/>
  <c r="O63" i="5" s="1"/>
  <c r="N69" i="5"/>
  <c r="O69" i="5" s="1"/>
  <c r="N70" i="5"/>
  <c r="O70" i="5" s="1"/>
  <c r="N64" i="5"/>
  <c r="O64" i="5" s="1"/>
  <c r="N68" i="5"/>
  <c r="O68" i="5" s="1"/>
  <c r="N66" i="5"/>
  <c r="O66" i="5" s="1"/>
  <c r="N65" i="5"/>
  <c r="O65" i="5" s="1"/>
  <c r="U62" i="5" l="1"/>
  <c r="V62" i="5" s="1"/>
  <c r="N62" i="5"/>
  <c r="O62" i="5" l="1"/>
  <c r="Q61" i="5" a="1"/>
  <c r="Q6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<sst xmlns="http://schemas.openxmlformats.org/spreadsheetml/2006/main" count="331" uniqueCount="243">
  <si>
    <t>Executive E-Commerce Business Analysis Workbook</t>
  </si>
  <si>
    <t>Prepared by</t>
  </si>
  <si>
    <t>Harsh</t>
  </si>
  <si>
    <t>Project</t>
  </si>
  <si>
    <t>Executive E-Commerce Business Analysis</t>
  </si>
  <si>
    <t>Industry</t>
  </si>
  <si>
    <t>E-Commerce</t>
  </si>
  <si>
    <t>Dataset</t>
  </si>
  <si>
    <t>Brazilian E-Commerce (Olist)</t>
  </si>
  <si>
    <t>Tools Used</t>
  </si>
  <si>
    <t>Microsoft Excel</t>
  </si>
  <si>
    <t>SQL</t>
  </si>
  <si>
    <t>Python</t>
  </si>
  <si>
    <t>Power BI</t>
  </si>
  <si>
    <t>Workbook Sections</t>
  </si>
  <si>
    <t>1. Executive KPI Review</t>
  </si>
  <si>
    <t>2. Customer Investigation</t>
  </si>
  <si>
    <t>3. Category Investigation</t>
  </si>
  <si>
    <t>4. Operations Investigation</t>
  </si>
  <si>
    <t>5. Decision Support</t>
  </si>
  <si>
    <t>Executive KPI Review</t>
  </si>
  <si>
    <t>Business Performance Snapshot</t>
  </si>
  <si>
    <t>Total Revenue</t>
  </si>
  <si>
    <t xml:space="preserve">             Total Orders</t>
  </si>
  <si>
    <t xml:space="preserve">                   Avg. Order Value</t>
  </si>
  <si>
    <t xml:space="preserve">                    Unique Customers</t>
  </si>
  <si>
    <t>16.01M</t>
  </si>
  <si>
    <t>Annual Performance Trend</t>
  </si>
  <si>
    <t>Year</t>
  </si>
  <si>
    <t xml:space="preserve">                    Revenue</t>
  </si>
  <si>
    <t xml:space="preserve">                 Orders</t>
  </si>
  <si>
    <t>Avg. Order Value</t>
  </si>
  <si>
    <t>Revenue Growth %</t>
  </si>
  <si>
    <t>2016 represents a partial-year period and is excluded from YoY growth calculations.</t>
  </si>
  <si>
    <t>month</t>
  </si>
  <si>
    <t>total_orders</t>
  </si>
  <si>
    <t>revenue</t>
  </si>
  <si>
    <t>avg_order_value</t>
  </si>
  <si>
    <t>unique_customers</t>
  </si>
  <si>
    <t>MoM Growth %</t>
  </si>
  <si>
    <t>Cumulative Revenue</t>
  </si>
  <si>
    <t>Revenue per Customer</t>
  </si>
  <si>
    <t>customer_state</t>
  </si>
  <si>
    <t>total_customers</t>
  </si>
  <si>
    <t>total_revenue</t>
  </si>
  <si>
    <t>avg_review_score</t>
  </si>
  <si>
    <t>avg_delivery_days</t>
  </si>
  <si>
    <t>Revenue Contribution %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</si>
  <si>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</si>
  <si>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</si>
  <si>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</si>
  <si>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</si>
  <si>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</si>
  <si>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</si>
  <si>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</si>
  <si>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</si>
  <si>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</si>
  <si>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</si>
  <si>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</si>
  <si>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</si>
  <si>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</si>
  <si>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</si>
  <si>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</si>
  <si>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PB</t>
  </si>
  <si>
    <t>MS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</si>
  <si>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</si>
  <si>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</si>
  <si>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</si>
  <si>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</si>
  <si>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</si>
  <si>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</si>
  <si>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</si>
  <si>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</si>
  <si>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</si>
  <si>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</si>
  <si>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Customer Investigation</t>
  </si>
  <si>
    <t>Customer Snapshot</t>
  </si>
  <si>
    <t xml:space="preserve">   Revenue per Customer</t>
  </si>
  <si>
    <t xml:space="preserve">                    Average Review Score</t>
  </si>
  <si>
    <t xml:space="preserve">                    Average Delivery Days</t>
  </si>
  <si>
    <t>Category Investigation</t>
  </si>
  <si>
    <t>Category Performance Snapshot</t>
  </si>
  <si>
    <t xml:space="preserve">   Top Revenue Category</t>
  </si>
  <si>
    <t xml:space="preserve">                 Category Revenue</t>
  </si>
  <si>
    <t xml:space="preserve">                   Revenue Contribution</t>
  </si>
  <si>
    <t xml:space="preserve">                  1.23M </t>
  </si>
  <si>
    <t>category</t>
  </si>
  <si>
    <t>items_sold</t>
  </si>
  <si>
    <t>avg_item_price</t>
  </si>
  <si>
    <t>Revenue per Order</t>
  </si>
  <si>
    <t>Category</t>
  </si>
  <si>
    <t>Total Orders</t>
  </si>
  <si>
    <t>Health &amp; Beauty</t>
  </si>
  <si>
    <t>Watches &amp; Gifts</t>
  </si>
  <si>
    <t>Bed, Bath &amp; Table</t>
  </si>
  <si>
    <t>Sports &amp; Leisure</t>
  </si>
  <si>
    <t>Computers &amp; Accessories</t>
  </si>
  <si>
    <t>Furniture &amp; Decor</t>
  </si>
  <si>
    <t>Housewares</t>
  </si>
  <si>
    <t>Cool &amp; Stuff</t>
  </si>
  <si>
    <t>Auto</t>
  </si>
  <si>
    <t>Toys</t>
  </si>
  <si>
    <t>garden_tools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</si>
  <si>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</si>
  <si>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</si>
  <si>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</si>
  <si>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</si>
  <si>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</si>
  <si>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</si>
  <si>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</si>
  <si>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musical_instruments</t>
  </si>
  <si>
    <t>small_appliances</t>
  </si>
  <si>
    <t>electronics</t>
  </si>
  <si>
    <t>fashion_bags_accessories</t>
  </si>
  <si>
    <t>consoles_games</t>
  </si>
  <si>
    <t>construction_tools_construction</t>
  </si>
  <si>
    <t>luggage_accessories</t>
  </si>
  <si>
    <t>home_appliances_2</t>
  </si>
  <si>
    <t>home_construction</t>
  </si>
  <si>
    <t>home_appliances</t>
  </si>
  <si>
    <t>agro_industry_and_commerce</t>
  </si>
  <si>
    <t>furniture_living_room</t>
  </si>
  <si>
    <t>home_confort</t>
  </si>
  <si>
    <t>fixed_telephony</t>
  </si>
  <si>
    <t>air_conditioning</t>
  </si>
  <si>
    <t>audio</t>
  </si>
  <si>
    <t>small_appliances_home_oven_and_coffee</t>
  </si>
  <si>
    <t>kitchen_dining_laundry_garden_furniture</t>
  </si>
  <si>
    <t>books_general_interest</t>
  </si>
  <si>
    <t>construction_tools_lights</t>
  </si>
  <si>
    <t>construction_tools_safety</t>
  </si>
  <si>
    <t>industry_commerce_and_business</t>
  </si>
  <si>
    <t>food</t>
  </si>
  <si>
    <t>market_place</t>
  </si>
  <si>
    <t>costruction_tools_garden</t>
  </si>
  <si>
    <t>art</t>
  </si>
  <si>
    <t>fashion_shoes</t>
  </si>
  <si>
    <t>drinks</t>
  </si>
  <si>
    <t>signaling_and_security</t>
  </si>
  <si>
    <t>furniture_bedroom</t>
  </si>
  <si>
    <t>books_technical</t>
  </si>
  <si>
    <t>costruction_tools_tools</t>
  </si>
  <si>
    <t>food_drink</t>
  </si>
  <si>
    <t>fashion_male_clothing</t>
  </si>
  <si>
    <t>fashion_underwear_beach</t>
  </si>
  <si>
    <t>christmas_supplies</t>
  </si>
  <si>
    <t>tablets_printing_image</t>
  </si>
  <si>
    <t>cine_photo</t>
  </si>
  <si>
    <t>music</t>
  </si>
  <si>
    <t>dvds_blu_ray</t>
  </si>
  <si>
    <t>party_supplies</t>
  </si>
  <si>
    <t>books_imported</t>
  </si>
  <si>
    <t>furniture_mattress_and_upholstery</t>
  </si>
  <si>
    <t>fashio_female_clothing</t>
  </si>
  <si>
    <t>fashion_sport</t>
  </si>
  <si>
    <t>la_cuisine</t>
  </si>
  <si>
    <t>arts_and_craftmanship</t>
  </si>
  <si>
    <t>diapers_and_hygiene</t>
  </si>
  <si>
    <t>flowers</t>
  </si>
  <si>
    <t>home_comfort_2</t>
  </si>
  <si>
    <t>cds_dvds_musicals</t>
  </si>
  <si>
    <t>fashion_childrens_clothes</t>
  </si>
  <si>
    <t>security_and_services</t>
  </si>
  <si>
    <t>Operations Investigation</t>
  </si>
  <si>
    <t>Operations Performance Snapshot</t>
  </si>
  <si>
    <t xml:space="preserve">         Total Sellers</t>
  </si>
  <si>
    <t xml:space="preserve">                  Delivery Rate</t>
  </si>
  <si>
    <t xml:space="preserve">                   Cancellation Rate</t>
  </si>
  <si>
    <t>seller_state</t>
  </si>
  <si>
    <t>total_sellers</t>
  </si>
  <si>
    <t>delivered_orders</t>
  </si>
  <si>
    <t>cancelled_orders</t>
  </si>
  <si>
    <t>Average Revenue per Seller</t>
  </si>
  <si>
    <t>Seller State</t>
  </si>
  <si>
    <t>Total Sellers</t>
  </si>
  <si>
    <t>Avg Delivery Days</t>
  </si>
  <si>
    <t>Cancellation Rate</t>
  </si>
  <si>
    <t>Decision Support</t>
  </si>
  <si>
    <t>Management Insights &amp; Recommended Actions</t>
  </si>
  <si>
    <t xml:space="preserve">      Total  Revenue</t>
  </si>
  <si>
    <t xml:space="preserve">     Revenue Growth</t>
  </si>
  <si>
    <t xml:space="preserve">          Delivery Rate</t>
  </si>
  <si>
    <r>
      <rPr>
        <sz val="11"/>
        <color rgb="FF000000"/>
        <rFont val="Aptos"/>
      </rPr>
      <t xml:space="preserve">   </t>
    </r>
    <r>
      <rPr>
        <b/>
        <sz val="11"/>
        <color rgb="FF000000"/>
        <rFont val="Aptos"/>
      </rPr>
      <t>Cancellation Rate</t>
    </r>
  </si>
  <si>
    <t xml:space="preserve"> </t>
  </si>
  <si>
    <t>KEY BUSINESS PRIORITIES</t>
  </si>
  <si>
    <t>1. CATEGORY GROWTH</t>
  </si>
  <si>
    <t>2. CUSTOMER EXPERIENCE</t>
  </si>
  <si>
    <t>3. STATE PERFORMANCE</t>
  </si>
  <si>
    <t xml:space="preserve"> Health &amp; Beauty Revenue: 1.23M</t>
  </si>
  <si>
    <t>Delivery time has a negative</t>
  </si>
  <si>
    <t>SP: $5.80M revenue</t>
  </si>
  <si>
    <t>relationship with customer</t>
  </si>
  <si>
    <t>GO: 0.65% cancellation</t>
  </si>
  <si>
    <t>Bed, Bath &amp; Table Orders: 9,272</t>
  </si>
  <si>
    <t>review score.</t>
  </si>
  <si>
    <t>MG: 0.63% cancellation</t>
  </si>
  <si>
    <t>BA: 13.4 days</t>
  </si>
  <si>
    <t>ACTION</t>
  </si>
  <si>
    <t>SC: 13.1 days</t>
  </si>
  <si>
    <t>Protect strong categories and</t>
  </si>
  <si>
    <t>PR: 12.9 days</t>
  </si>
  <si>
    <t>Maintain SP service levels while investigating</t>
  </si>
  <si>
    <t xml:space="preserve">identify opportunities to </t>
  </si>
  <si>
    <t>higher cancellation rates in GO and MG.</t>
  </si>
  <si>
    <t>increase revenue per order.</t>
  </si>
  <si>
    <t>Prioritize delivery-time reduction in</t>
  </si>
  <si>
    <t xml:space="preserve"> slower states.</t>
  </si>
  <si>
    <t>RECOMMENDED ACTIONS</t>
  </si>
  <si>
    <t>PRIORITY</t>
  </si>
  <si>
    <t>FINDING</t>
  </si>
  <si>
    <t>IMPACT</t>
  </si>
  <si>
    <t>HIGH</t>
  </si>
  <si>
    <t>Delivery is slower in BA, SC and PR</t>
  </si>
  <si>
    <t>Investigate logistics and seller performance; prioritize delivery improvements.</t>
  </si>
  <si>
    <t>Better customer experience</t>
  </si>
  <si>
    <t>GO and MG have highest cancellation rates</t>
  </si>
  <si>
    <t>Investigate state-level cancellation drivers and seller issues.</t>
  </si>
  <si>
    <t>Reduce lost orders</t>
  </si>
  <si>
    <t>Health &amp; Beauty leads revenue at 1.23M</t>
  </si>
  <si>
    <t>Protect inventory/service levels and identify growth opportunities.</t>
  </si>
  <si>
    <t>Revenue growth</t>
  </si>
  <si>
    <t>MEDIUM</t>
  </si>
  <si>
    <t>Bed, Bath &amp; Table has highest order volume</t>
  </si>
  <si>
    <t>Investigate basket size, pricing and cross-selling opportunities.</t>
  </si>
  <si>
    <t>Increase revenue/order</t>
  </si>
  <si>
    <t>SP generates 5.80M revenue</t>
  </si>
  <si>
    <t>Maintain service quality and leverage scale in the largest market.</t>
  </si>
  <si>
    <t>Defend core revenue</t>
  </si>
  <si>
    <t>MANAGEMENT WATCHLIST</t>
  </si>
  <si>
    <t>CUSTOMER EXPERIENCE</t>
  </si>
  <si>
    <t>CANCELLATION RISK</t>
  </si>
  <si>
    <t>CATEGORY OPPORTUNITY</t>
  </si>
  <si>
    <t>GEOGRAPHIC CONCENTRATION</t>
  </si>
  <si>
    <t xml:space="preserve">Delivery time </t>
  </si>
  <si>
    <t>GO: 0.65%</t>
  </si>
  <si>
    <t xml:space="preserve">Review score </t>
  </si>
  <si>
    <t>MG: 0.63%</t>
  </si>
  <si>
    <t>9,272 orders</t>
  </si>
  <si>
    <t>SP: 5.80M revenue</t>
  </si>
  <si>
    <t>Monitor slower states.</t>
  </si>
  <si>
    <t>Investigate cancellation drivers.</t>
  </si>
  <si>
    <t>Explore revenue/order improvement.</t>
  </si>
  <si>
    <t>Maintain service quality at scale.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</si>
</sst>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</numFmts>
  <fonts count="28">
    <font>
      <sz val="11"/>
      <color theme="1"/>
      <name val="Calibri"/>
      <family val="2"/>
      <scheme val="minor"/>
    </font>
    <font>
      <sz val="11"/>
      <color theme="1"/>
      <name val="Aptos"/>
    </font>
    <font>
      <b/>
      <sz val="20"/>
      <color rgb="FF002060"/>
      <name val="Aptos"/>
    </font>
    <font>
      <b/>
      <sz val="11"/>
      <color rgb="FF002060"/>
      <name val="Aptos"/>
    </font>
    <font>
      <b/>
      <sz val="11"/>
      <color rgb="FF000000"/>
      <name val="Aptos"/>
    </font>
    <font>
      <b/>
      <sz val="11"/>
      <color theme="1"/>
      <name val="Aptos"/>
    </font>
    <font>
      <b/>
      <sz val="24"/>
      <color rgb="FF002060"/>
      <name val="Aptos"/>
    </font>
    <font>
      <b/>
      <sz val="22"/>
      <color rgb="FF002060"/>
      <name val="Aptos"/>
    </font>
    <font>
      <b/>
      <sz val="13"/>
      <color rgb="FF002060"/>
      <name val="Aptos"/>
    </font>
    <font>
      <b/>
      <sz val="24"/>
      <color rgb="FF000000"/>
      <name val="Aptos"/>
    </font>
    <font>
      <b/>
      <sz val="12"/>
      <color theme="1"/>
      <name val="Aptos"/>
    </font>
    <font>
      <sz val="16"/>
      <color theme="1"/>
      <name val="Aptos"/>
    </font>
    <font>
      <b/>
      <sz val="12"/>
      <color rgb="FF000000"/>
      <name val="Aptos"/>
      <charset val="1"/>
    </font>
    <font>
      <sz val="11"/>
      <color rgb="FF3A3838"/>
      <name val="Aptos"/>
    </font>
    <font>
      <sz val="11"/>
      <color rgb="FF000000"/>
      <name val="Aptos"/>
    </font>
    <font>
      <sz val="16"/>
      <color rgb="FF000000"/>
      <name val="Aptos"/>
    </font>
    <font>
      <sz val="11"/>
      <color rgb="FF000000"/>
      <name val="Aptos"/>
      <charset val="1"/>
    </font>
    <font>
      <sz val="11"/>
      <color rgb="FF000000"/>
      <name val="Calibri"/>
      <charset val="1"/>
    </font>
    <font>
      <b/>
      <sz val="12"/>
      <color rgb="FF000000"/>
      <name val="Aptos"/>
    </font>
    <font>
      <sz val="10"/>
      <color theme="1"/>
      <name val="Aptos"/>
    </font>
    <font>
      <b/>
      <sz val="14"/>
      <color rgb="FF000000"/>
      <name val="Aptos"/>
    </font>
    <font>
      <b/>
      <sz val="11"/>
      <color rgb="FF000000"/>
      <name val="Aptos"/>
      <charset val="1"/>
    </font>
    <font>
      <b/>
      <sz val="11"/>
      <color theme="1"/>
      <name val="Calibri"/>
      <family val="2"/>
      <scheme val="minor"/>
    </font>
    <font>
      <b/>
      <sz val="10"/>
      <color theme="1"/>
      <name val="Aptos"/>
    </font>
    <font>
      <b/>
      <sz val="14"/>
      <color rgb="FF000000"/>
      <name val="Aptos"/>
      <charset val="1"/>
    </font>
    <font>
      <b/>
      <sz val="24"/>
      <color theme="1"/>
      <name val="Aptos"/>
    </font>
    <font>
      <sz val="11"/>
      <color theme="0"/>
      <name val="Calibri"/>
      <family val="2"/>
      <scheme val="minor"/>
    </font>
    <font>
      <sz val="11"/>
      <color theme="0"/>
      <name val="Apto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08BA6"/>
        <bgColor indexed="64"/>
      </patternFill>
    </fill>
    <fill>
      <patternFill patternType="solid">
        <fgColor rgb="FFB375BF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/>
    <xf numFmtId="0" fontId="1" fillId="2" borderId="0" xfId="0" applyFont="1" applyFill="1"/>
    <xf numFmtId="0" fontId="10" fillId="0" borderId="0" xfId="0" applyFont="1"/>
    <xf numFmtId="0" fontId="1" fillId="0" borderId="1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0" fontId="5" fillId="0" borderId="0" xfId="0" applyFont="1" applyBorder="1" applyAlignment="1">
      <alignment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Border="1"/>
    <xf numFmtId="0" fontId="1" fillId="0" borderId="12" xfId="0" applyFont="1" applyBorder="1"/>
    <xf numFmtId="10" fontId="1" fillId="0" borderId="7" xfId="0" applyNumberFormat="1" applyFont="1" applyBorder="1"/>
    <xf numFmtId="9" fontId="11" fillId="0" borderId="7" xfId="0" applyNumberFormat="1" applyFont="1" applyBorder="1"/>
    <xf numFmtId="10" fontId="11" fillId="0" borderId="7" xfId="0" applyNumberFormat="1" applyFont="1" applyBorder="1"/>
    <xf numFmtId="0" fontId="1" fillId="3" borderId="0" xfId="0" applyFont="1" applyFill="1" applyBorder="1"/>
    <xf numFmtId="0" fontId="19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/>
    <xf numFmtId="0" fontId="19" fillId="2" borderId="7" xfId="0" applyFont="1" applyFill="1" applyBorder="1"/>
    <xf numFmtId="0" fontId="1" fillId="2" borderId="7" xfId="0" applyFont="1" applyFill="1" applyBorder="1"/>
    <xf numFmtId="0" fontId="19" fillId="2" borderId="9" xfId="0" applyFont="1" applyFill="1" applyBorder="1"/>
    <xf numFmtId="0" fontId="1" fillId="2" borderId="7" xfId="0" applyFont="1" applyFill="1" applyBorder="1" applyAlignment="1">
      <alignment horizontal="center"/>
    </xf>
    <xf numFmtId="0" fontId="16" fillId="2" borderId="0" xfId="0" applyFont="1" applyFill="1" applyBorder="1"/>
    <xf numFmtId="0" fontId="1" fillId="2" borderId="8" xfId="0" applyFont="1" applyFill="1" applyBorder="1"/>
    <xf numFmtId="0" fontId="16" fillId="2" borderId="7" xfId="0" applyFont="1" applyFill="1" applyBorder="1"/>
    <xf numFmtId="0" fontId="1" fillId="2" borderId="0" xfId="0" applyFont="1" applyFill="1" applyBorder="1" applyAlignment="1">
      <alignment horizontal="center"/>
    </xf>
    <xf numFmtId="0" fontId="0" fillId="2" borderId="7" xfId="0" applyFill="1" applyBorder="1"/>
    <xf numFmtId="0" fontId="0" fillId="2" borderId="0" xfId="0" applyFill="1" applyBorder="1"/>
    <xf numFmtId="0" fontId="1" fillId="2" borderId="0" xfId="0" applyFont="1" applyFill="1" applyBorder="1"/>
    <xf numFmtId="0" fontId="17" fillId="2" borderId="7" xfId="0" applyFont="1" applyFill="1" applyBorder="1"/>
    <xf numFmtId="0" fontId="1" fillId="2" borderId="9" xfId="0" applyFont="1" applyFill="1" applyBorder="1"/>
    <xf numFmtId="0" fontId="1" fillId="2" borderId="12" xfId="0" applyFont="1" applyFill="1" applyBorder="1"/>
    <xf numFmtId="0" fontId="1" fillId="2" borderId="10" xfId="0" applyFont="1" applyFill="1" applyBorder="1"/>
    <xf numFmtId="0" fontId="16" fillId="2" borderId="9" xfId="0" applyFont="1" applyFill="1" applyBorder="1"/>
    <xf numFmtId="43" fontId="11" fillId="0" borderId="9" xfId="0" applyNumberFormat="1" applyFont="1" applyBorder="1" applyAlignment="1">
      <alignment vertical="center"/>
    </xf>
    <xf numFmtId="164" fontId="11" fillId="0" borderId="9" xfId="0" applyNumberFormat="1" applyFont="1" applyBorder="1" applyAlignment="1">
      <alignment horizontal="left" vertical="center"/>
    </xf>
    <xf numFmtId="166" fontId="11" fillId="0" borderId="9" xfId="0" applyNumberFormat="1" applyFont="1" applyBorder="1" applyAlignment="1">
      <alignment horizontal="right" vertical="center"/>
    </xf>
    <xf numFmtId="0" fontId="7" fillId="3" borderId="0" xfId="0" applyFont="1" applyFill="1" applyAlignment="1"/>
    <xf numFmtId="0" fontId="6" fillId="3" borderId="0" xfId="0" applyFont="1" applyFill="1" applyAlignment="1"/>
    <xf numFmtId="0" fontId="2" fillId="3" borderId="0" xfId="0" applyFont="1" applyFill="1" applyAlignment="1"/>
    <xf numFmtId="0" fontId="4" fillId="3" borderId="1" xfId="0" applyFont="1" applyFill="1" applyBorder="1"/>
    <xf numFmtId="0" fontId="1" fillId="3" borderId="2" xfId="0" applyFont="1" applyFill="1" applyBorder="1"/>
    <xf numFmtId="0" fontId="5" fillId="3" borderId="3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1" fillId="0" borderId="5" xfId="0" applyFont="1" applyBorder="1"/>
    <xf numFmtId="164" fontId="11" fillId="0" borderId="9" xfId="0" applyNumberFormat="1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2" fontId="11" fillId="0" borderId="9" xfId="0" applyNumberFormat="1" applyFont="1" applyBorder="1" applyAlignment="1">
      <alignment vertical="center"/>
    </xf>
    <xf numFmtId="164" fontId="11" fillId="0" borderId="9" xfId="0" applyNumberFormat="1" applyFont="1" applyBorder="1" applyAlignment="1">
      <alignment horizontal="center" vertical="center"/>
    </xf>
    <xf numFmtId="10" fontId="11" fillId="0" borderId="9" xfId="0" applyNumberFormat="1" applyFont="1" applyBorder="1" applyAlignment="1">
      <alignment horizontal="right" vertical="center"/>
    </xf>
    <xf numFmtId="166" fontId="11" fillId="0" borderId="9" xfId="0" applyNumberFormat="1" applyFont="1" applyBorder="1" applyAlignment="1">
      <alignment vertical="center"/>
    </xf>
    <xf numFmtId="0" fontId="21" fillId="2" borderId="7" xfId="0" applyFont="1" applyFill="1" applyBorder="1"/>
    <xf numFmtId="0" fontId="22" fillId="2" borderId="7" xfId="0" applyFont="1" applyFill="1" applyBorder="1"/>
    <xf numFmtId="0" fontId="5" fillId="2" borderId="7" xfId="0" applyFont="1" applyFill="1" applyBorder="1"/>
    <xf numFmtId="0" fontId="4" fillId="4" borderId="5" xfId="0" applyFont="1" applyFill="1" applyBorder="1"/>
    <xf numFmtId="0" fontId="1" fillId="4" borderId="11" xfId="0" applyFont="1" applyFill="1" applyBorder="1"/>
    <xf numFmtId="0" fontId="14" fillId="4" borderId="5" xfId="0" applyFont="1" applyFill="1" applyBorder="1"/>
    <xf numFmtId="0" fontId="1" fillId="4" borderId="6" xfId="0" applyFont="1" applyFill="1" applyBorder="1"/>
    <xf numFmtId="0" fontId="18" fillId="4" borderId="5" xfId="0" applyFont="1" applyFill="1" applyBorder="1"/>
    <xf numFmtId="0" fontId="16" fillId="4" borderId="11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19" fillId="0" borderId="7" xfId="0" applyFont="1" applyBorder="1"/>
    <xf numFmtId="0" fontId="19" fillId="0" borderId="9" xfId="0" applyFont="1" applyBorder="1"/>
    <xf numFmtId="0" fontId="23" fillId="4" borderId="5" xfId="0" applyFont="1" applyFill="1" applyBorder="1"/>
    <xf numFmtId="0" fontId="19" fillId="0" borderId="7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3" fillId="4" borderId="11" xfId="0" applyFont="1" applyFill="1" applyBorder="1" applyAlignment="1">
      <alignment horizontal="center"/>
    </xf>
    <xf numFmtId="0" fontId="23" fillId="4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1" fillId="2" borderId="12" xfId="0" applyFont="1" applyFill="1" applyBorder="1" applyAlignment="1"/>
    <xf numFmtId="0" fontId="2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64" fontId="26" fillId="0" borderId="0" xfId="0" applyNumberFormat="1" applyFont="1" applyAlignment="1">
      <alignment horizontal="center"/>
    </xf>
    <xf numFmtId="0" fontId="27" fillId="0" borderId="0" xfId="0" applyFont="1"/>
    <xf numFmtId="164" fontId="27" fillId="0" borderId="0" xfId="0" applyNumberFormat="1" applyFont="1"/>
    <xf numFmtId="166" fontId="26" fillId="0" borderId="0" xfId="0" applyNumberFormat="1" applyFont="1" applyAlignment="1">
      <alignment horizontal="center"/>
    </xf>
    <xf numFmtId="164" fontId="26" fillId="0" borderId="0" xfId="0" applyNumberFormat="1" applyFont="1" applyAlignment="1"/>
    <xf numFmtId="0" fontId="26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164" fontId="27" fillId="0" borderId="0" xfId="0" applyNumberFormat="1" applyFont="1" applyAlignment="1">
      <alignment horizontal="right"/>
    </xf>
    <xf numFmtId="10" fontId="27" fillId="0" borderId="0" xfId="0" applyNumberFormat="1" applyFont="1"/>
    <xf numFmtId="0" fontId="27" fillId="0" borderId="0" xfId="0" applyFont="1" applyAlignment="1">
      <alignment horizontal="right"/>
    </xf>
    <xf numFmtId="0" fontId="26" fillId="0" borderId="0" xfId="0" applyNumberFormat="1" applyFont="1" applyAlignment="1"/>
    <xf numFmtId="0" fontId="5" fillId="4" borderId="5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15" xfId="0" applyNumberFormat="1" applyFont="1" applyFill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vertical="center" wrapText="1"/>
    </xf>
    <xf numFmtId="164" fontId="11" fillId="0" borderId="10" xfId="0" applyNumberFormat="1" applyFont="1" applyBorder="1" applyAlignment="1">
      <alignment vertical="center" wrapText="1"/>
    </xf>
    <xf numFmtId="43" fontId="11" fillId="0" borderId="9" xfId="0" applyNumberFormat="1" applyFont="1" applyBorder="1" applyAlignment="1">
      <alignment horizontal="center" vertical="center"/>
    </xf>
    <xf numFmtId="43" fontId="11" fillId="0" borderId="9" xfId="0" applyNumberFormat="1" applyFont="1" applyBorder="1" applyAlignment="1">
      <alignment horizontal="center" vertical="center"/>
    </xf>
    <xf numFmtId="43" fontId="11" fillId="0" borderId="10" xfId="0" applyNumberFormat="1" applyFont="1" applyBorder="1" applyAlignment="1">
      <alignment horizontal="center" vertical="center"/>
    </xf>
    <xf numFmtId="43" fontId="11" fillId="0" borderId="10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vertical="center"/>
    </xf>
    <xf numFmtId="2" fontId="1" fillId="0" borderId="0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vertical="center"/>
    </xf>
    <xf numFmtId="2" fontId="1" fillId="0" borderId="12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3" xfId="0" applyNumberFormat="1" applyFont="1" applyFill="1" applyBorder="1" applyAlignment="1">
      <alignment horizontal="left"/>
    </xf>
    <xf numFmtId="0" fontId="5" fillId="4" borderId="15" xfId="0" applyNumberFormat="1" applyFont="1" applyFill="1" applyBorder="1" applyAlignment="1">
      <alignment horizontal="left"/>
    </xf>
    <xf numFmtId="0" fontId="5" fillId="4" borderId="13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375BF"/>
      <color rgb="FFA08BA6"/>
      <color rgb="FFA824BD"/>
      <color rgb="FFFFFFFF"/>
      <color rgb="FFC6E9F7"/>
      <color rgb="FF7FD9FA"/>
      <color rgb="FF19A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'Executive KPI Review'!$B$13</c:f>
              <c:strCache>
                <c:ptCount val="1"/>
                <c:pt idx="0">
                  <c:v>                    Revenue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KPI Review'!A15:A16</c:f>
              <c:numCache>
                <c:formatCode>General</c:formatCode>
                <c:ptCount val="2"/>
                <c:pt idx="0">
                  <c:v>2017</c:v>
                </c:pt>
                <c:pt idx="1">
                  <c:v>2018</c:v>
                </c:pt>
              </c:numCache>
            </c:numRef>
          </c:cat>
          <c:val>
            <c:numRef>
              <c:f>'Executive KPI Review'!B15:B16</c:f>
              <c:numCache>
                <c:formatCode>_(* #,##0_);_(* \(#,##0\);_(* "-"??_);_(@_)</c:formatCode>
                <c:ptCount val="2"/>
                <c:pt idx="0">
                  <c:v>7249746.9000000004</c:v>
                </c:pt>
                <c:pt idx="1">
                  <c:v>8699762.5099999998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C0-4B5B-8051-F422758E4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9767943"/>
        <c:axId val="163334152"/>
      </c:lineChart>
      <c:catAx>
        <c:axId val="2049767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34152"/>
        <c:crosses val="autoZero"/>
        <c:auto val="1"/>
        <c:lblAlgn val="ctr"/>
        <c:lblOffset val="100"/>
        <c:noMultiLvlLbl val="0"/>
      </c:catAx>
      <c:valAx>
        <c:axId val="16333415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2049767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Orders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'Executive KPI Review'!$C$13</c:f>
              <c:strCache>
                <c:ptCount val="1"/>
                <c:pt idx="0">
                  <c:v>                 Orders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KPI Review'!A15:A16</c:f>
              <c:numCache>
                <c:formatCode>General</c:formatCode>
                <c:ptCount val="2"/>
                <c:pt idx="0">
                  <c:v>2017</c:v>
                </c:pt>
                <c:pt idx="1">
                  <c:v>2018</c:v>
                </c:pt>
              </c:numCache>
            </c:numRef>
          </c:cat>
          <c:val>
            <c:numRef>
              <c:f>'Executive KPI Review'!C15:C16</c:f>
              <c:numCache>
                <c:formatCode>_(* #,##0_);_(* \(#,##0\);_(* "-"??_);_(@_)</c:formatCode>
                <c:ptCount val="2"/>
                <c:pt idx="0">
                  <c:v>45101</c:v>
                </c:pt>
                <c:pt idx="1">
                  <c:v>54011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BE-4430-BAB5-76834757B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92392"/>
        <c:axId val="182994440"/>
      </c:lineChart>
      <c:catAx>
        <c:axId val="182992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94440"/>
        <c:crosses val="autoZero"/>
        <c:auto val="1"/>
        <c:lblAlgn val="ctr"/>
        <c:lblOffset val="100"/>
        <c:noMultiLvlLbl val="0"/>
      </c:catAx>
      <c:valAx>
        <c:axId val="182994440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82992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Investigation'!$D$54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Investigation'!$A$55:$A$64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'Customer Investigation'!$D$55:$D$64</c:f>
              <c:numCache>
                <c:formatCode>_(* #,##0_);_(* \(#,##0\);_(* "-"??_);_(@_)</c:formatCode>
                <c:ptCount val="10"/>
                <c:pt idx="0">
                  <c:v>5799847</c:v>
                </c:pt>
                <c:pt idx="1">
                  <c:v>2063882.53</c:v>
                </c:pt>
                <c:pt idx="2">
                  <c:v>1826872.47</c:v>
                </c:pt>
                <c:pt idx="3">
                  <c:v>866206.87</c:v>
                </c:pt>
                <c:pt idx="4">
                  <c:v>785305.81</c:v>
                </c:pt>
                <c:pt idx="5">
                  <c:v>597148.44999999995</c:v>
                </c:pt>
                <c:pt idx="6">
                  <c:v>593541.16</c:v>
                </c:pt>
                <c:pt idx="7">
                  <c:v>348624.23</c:v>
                </c:pt>
                <c:pt idx="8">
                  <c:v>337747.38</c:v>
                </c:pt>
                <c:pt idx="9">
                  <c:v>318491.23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6-49C0-A957-C1184AC68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47823367"/>
        <c:axId val="2047825415"/>
      </c:barChart>
      <c:catAx>
        <c:axId val="20478233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825415"/>
        <c:crosses val="autoZero"/>
        <c:auto val="1"/>
        <c:lblAlgn val="ctr"/>
        <c:lblOffset val="100"/>
        <c:noMultiLvlLbl val="0"/>
      </c:catAx>
      <c:valAx>
        <c:axId val="2047825415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2047823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Investigation'!$B$54</c:f>
              <c:strCache>
                <c:ptCount val="1"/>
                <c:pt idx="0">
                  <c:v>total_customers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Investigation'!$A$55:$A$64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'Customer Investigation'!$B$55:$B$64</c:f>
              <c:numCache>
                <c:formatCode>_(* #,##0_);_(* \(#,##0\);_(* "-"??_);_(@_)</c:formatCode>
                <c:ptCount val="10"/>
                <c:pt idx="0">
                  <c:v>39155</c:v>
                </c:pt>
                <c:pt idx="1">
                  <c:v>11917</c:v>
                </c:pt>
                <c:pt idx="2">
                  <c:v>11001</c:v>
                </c:pt>
                <c:pt idx="3">
                  <c:v>5168</c:v>
                </c:pt>
                <c:pt idx="4">
                  <c:v>4769</c:v>
                </c:pt>
                <c:pt idx="5">
                  <c:v>3449</c:v>
                </c:pt>
                <c:pt idx="6">
                  <c:v>3158</c:v>
                </c:pt>
                <c:pt idx="7">
                  <c:v>2019</c:v>
                </c:pt>
                <c:pt idx="8">
                  <c:v>1895</c:v>
                </c:pt>
                <c:pt idx="9">
                  <c:v>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A-4B15-9F47-926523DD2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47823367"/>
        <c:axId val="2047825415"/>
      </c:barChart>
      <c:catAx>
        <c:axId val="20478233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825415"/>
        <c:crosses val="autoZero"/>
        <c:auto val="1"/>
        <c:lblAlgn val="ctr"/>
        <c:lblOffset val="100"/>
        <c:noMultiLvlLbl val="0"/>
      </c:catAx>
      <c:valAx>
        <c:axId val="2047825415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2047823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 Time vs Customer Review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'Customer Investigation'!$G$54</c:f>
              <c:strCache>
                <c:ptCount val="1"/>
                <c:pt idx="0">
                  <c:v>avg_delivery_days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'Customer Investigation'!G55:G81</c:f>
              <c:numCache>
                <c:formatCode>General</c:formatCode>
                <c:ptCount val="27"/>
                <c:pt idx="0">
                  <c:v>8.6999999999999993</c:v>
                </c:pt>
                <c:pt idx="1">
                  <c:v>15.3</c:v>
                </c:pt>
                <c:pt idx="2">
                  <c:v>11.9</c:v>
                </c:pt>
                <c:pt idx="3">
                  <c:v>15.2</c:v>
                </c:pt>
                <c:pt idx="4">
                  <c:v>12</c:v>
                </c:pt>
                <c:pt idx="5">
                  <c:v>14.9</c:v>
                </c:pt>
                <c:pt idx="6">
                  <c:v>19.2</c:v>
                </c:pt>
                <c:pt idx="7">
                  <c:v>12.9</c:v>
                </c:pt>
                <c:pt idx="8">
                  <c:v>15.5</c:v>
                </c:pt>
                <c:pt idx="9">
                  <c:v>15.8</c:v>
                </c:pt>
                <c:pt idx="10">
                  <c:v>18.399999999999999</c:v>
                </c:pt>
                <c:pt idx="11">
                  <c:v>21.1</c:v>
                </c:pt>
                <c:pt idx="12">
                  <c:v>23.7</c:v>
                </c:pt>
                <c:pt idx="13">
                  <c:v>18</c:v>
                </c:pt>
                <c:pt idx="14">
                  <c:v>21.5</c:v>
                </c:pt>
                <c:pt idx="15">
                  <c:v>20.399999999999999</c:v>
                </c:pt>
                <c:pt idx="16">
                  <c:v>15.5</c:v>
                </c:pt>
                <c:pt idx="17">
                  <c:v>19.399999999999999</c:v>
                </c:pt>
                <c:pt idx="18">
                  <c:v>19.600000000000001</c:v>
                </c:pt>
                <c:pt idx="19">
                  <c:v>24.7</c:v>
                </c:pt>
                <c:pt idx="20">
                  <c:v>21.4</c:v>
                </c:pt>
                <c:pt idx="21">
                  <c:v>17.3</c:v>
                </c:pt>
                <c:pt idx="22">
                  <c:v>19.2</c:v>
                </c:pt>
                <c:pt idx="23">
                  <c:v>26.5</c:v>
                </c:pt>
                <c:pt idx="24">
                  <c:v>20.8</c:v>
                </c:pt>
                <c:pt idx="25">
                  <c:v>27.1</c:v>
                </c:pt>
                <c:pt idx="26">
                  <c:v>29.3</c:v>
                </c:pt>
              </c:numCache>
            </c:numRef>
          </c:xVal>
          <c:yVal>
            <c:numRef>
              <c:f>'Customer Investigation'!F55:F81</c:f>
              <c:numCache>
                <c:formatCode>General</c:formatCode>
                <c:ptCount val="27"/>
                <c:pt idx="0">
                  <c:v>4.25</c:v>
                </c:pt>
                <c:pt idx="1">
                  <c:v>3.97</c:v>
                </c:pt>
                <c:pt idx="2">
                  <c:v>4.1900000000000004</c:v>
                </c:pt>
                <c:pt idx="3">
                  <c:v>4.18</c:v>
                </c:pt>
                <c:pt idx="4">
                  <c:v>4.24</c:v>
                </c:pt>
                <c:pt idx="5">
                  <c:v>4.13</c:v>
                </c:pt>
                <c:pt idx="6">
                  <c:v>3.93</c:v>
                </c:pt>
                <c:pt idx="7">
                  <c:v>4.13</c:v>
                </c:pt>
                <c:pt idx="8">
                  <c:v>4.09</c:v>
                </c:pt>
                <c:pt idx="9">
                  <c:v>4.08</c:v>
                </c:pt>
                <c:pt idx="10">
                  <c:v>4.09</c:v>
                </c:pt>
                <c:pt idx="11">
                  <c:v>3.95</c:v>
                </c:pt>
                <c:pt idx="12">
                  <c:v>3.91</c:v>
                </c:pt>
                <c:pt idx="13">
                  <c:v>4.1500000000000004</c:v>
                </c:pt>
                <c:pt idx="14">
                  <c:v>3.81</c:v>
                </c:pt>
                <c:pt idx="15">
                  <c:v>4.07</c:v>
                </c:pt>
                <c:pt idx="16">
                  <c:v>4.1900000000000004</c:v>
                </c:pt>
                <c:pt idx="17">
                  <c:v>3.95</c:v>
                </c:pt>
                <c:pt idx="18">
                  <c:v>4.1100000000000003</c:v>
                </c:pt>
                <c:pt idx="19">
                  <c:v>3.84</c:v>
                </c:pt>
                <c:pt idx="20">
                  <c:v>3.9</c:v>
                </c:pt>
                <c:pt idx="21">
                  <c:v>4.1900000000000004</c:v>
                </c:pt>
                <c:pt idx="22">
                  <c:v>4.18</c:v>
                </c:pt>
                <c:pt idx="23">
                  <c:v>4.2300000000000004</c:v>
                </c:pt>
                <c:pt idx="24">
                  <c:v>4.08</c:v>
                </c:pt>
                <c:pt idx="25">
                  <c:v>4.26</c:v>
                </c:pt>
                <c:pt idx="26">
                  <c:v>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D9-4B2E-845D-1615C6181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545992"/>
        <c:axId val="1989548040"/>
      </c:scatterChart>
      <c:valAx>
        <c:axId val="1989545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Delivery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548040"/>
        <c:crosses val="autoZero"/>
        <c:crossBetween val="midCat"/>
      </c:valAx>
      <c:valAx>
        <c:axId val="1989548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Review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545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Categories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solidFill>
                <a:srgbClr val="7030A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Investigation'!$A$59:$A$68</c:f>
              <c:strCache>
                <c:ptCount val="10"/>
                <c:pt idx="0">
                  <c:v>Health &amp; Beauty</c:v>
                </c:pt>
                <c:pt idx="1">
                  <c:v>Watches &amp; Gifts</c:v>
                </c:pt>
                <c:pt idx="2">
                  <c:v>Bed, Bath &amp; Table</c:v>
                </c:pt>
                <c:pt idx="3">
                  <c:v>Sports &amp; Leisure</c:v>
                </c:pt>
                <c:pt idx="4">
                  <c:v>Computers &amp; Accessories</c:v>
                </c:pt>
                <c:pt idx="5">
                  <c:v>Furniture &amp; Decor</c:v>
                </c:pt>
                <c:pt idx="6">
                  <c:v>Housewares</c:v>
                </c:pt>
                <c:pt idx="7">
                  <c:v>Cool &amp; 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'Category Investigation'!$D$59:$D$68</c:f>
              <c:numCache>
                <c:formatCode>_(* #,##0_);_(* \(#,##0\);_(* "-"??_);_(@_)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0-4E5E-A83A-AD4404674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47823367"/>
        <c:axId val="2047825415"/>
      </c:barChart>
      <c:catAx>
        <c:axId val="20478233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825415"/>
        <c:crosses val="autoZero"/>
        <c:auto val="1"/>
        <c:lblAlgn val="ctr"/>
        <c:lblOffset val="100"/>
        <c:noMultiLvlLbl val="0"/>
      </c:catAx>
      <c:valAx>
        <c:axId val="2047825415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2047823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Categories by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solidFill>
                <a:srgbClr val="7030A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Investigation'!I59:I68</c:f>
              <c:strCache>
                <c:ptCount val="10"/>
                <c:pt idx="0">
                  <c:v>Bed, Bath &amp; Table</c:v>
                </c:pt>
                <c:pt idx="1">
                  <c:v>Health &amp; Beauty</c:v>
                </c:pt>
                <c:pt idx="2">
                  <c:v>Sports &amp; Leisure</c:v>
                </c:pt>
                <c:pt idx="3">
                  <c:v>Computers &amp; Accessories</c:v>
                </c:pt>
                <c:pt idx="4">
                  <c:v>Furniture &amp; Decor</c:v>
                </c:pt>
                <c:pt idx="5">
                  <c:v>Housewares</c:v>
                </c:pt>
                <c:pt idx="6">
                  <c:v>Watches &amp; Gifts</c:v>
                </c:pt>
                <c:pt idx="7">
                  <c:v>Telephony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'Category Investigation'!J59:J68</c:f>
              <c:numCache>
                <c:formatCode>_(* #,##0_);_(* \(#,##0\);_(* "-"??_);_(@_)</c:formatCode>
                <c:ptCount val="10"/>
                <c:pt idx="0">
                  <c:v>9272</c:v>
                </c:pt>
                <c:pt idx="1">
                  <c:v>8647</c:v>
                </c:pt>
                <c:pt idx="2">
                  <c:v>7530</c:v>
                </c:pt>
                <c:pt idx="3">
                  <c:v>6530</c:v>
                </c:pt>
                <c:pt idx="4">
                  <c:v>6307</c:v>
                </c:pt>
                <c:pt idx="5">
                  <c:v>5743</c:v>
                </c:pt>
                <c:pt idx="6">
                  <c:v>5495</c:v>
                </c:pt>
                <c:pt idx="7">
                  <c:v>4093</c:v>
                </c:pt>
                <c:pt idx="8">
                  <c:v>3810</c:v>
                </c:pt>
                <c:pt idx="9">
                  <c:v>3804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07-420F-AD49-496D63AD3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47823367"/>
        <c:axId val="2047825415"/>
      </c:barChart>
      <c:catAx>
        <c:axId val="20478233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825415"/>
        <c:crosses val="autoZero"/>
        <c:auto val="1"/>
        <c:lblAlgn val="ctr"/>
        <c:lblOffset val="100"/>
        <c:noMultiLvlLbl val="0"/>
      </c:catAx>
      <c:valAx>
        <c:axId val="2047825415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2047823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    Revenue vs Orders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'Customer Investigation'!$G$54</c:f>
              <c:strCache>
                <c:ptCount val="1"/>
                <c:pt idx="0">
                  <c:v>avg_delivery_days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'Category Investigation'!B59:B129</c:f>
              <c:numCache>
                <c:formatCode>_(* #,##0_);_(* \(#,##0\);_(* "-"??_);_(@_)</c:formatCode>
                <c:ptCount val="71"/>
                <c:pt idx="0">
                  <c:v>8647</c:v>
                </c:pt>
                <c:pt idx="1">
                  <c:v>5495</c:v>
                </c:pt>
                <c:pt idx="2">
                  <c:v>9272</c:v>
                </c:pt>
                <c:pt idx="3">
                  <c:v>7530</c:v>
                </c:pt>
                <c:pt idx="4">
                  <c:v>6530</c:v>
                </c:pt>
                <c:pt idx="5">
                  <c:v>6307</c:v>
                </c:pt>
                <c:pt idx="6">
                  <c:v>5743</c:v>
                </c:pt>
                <c:pt idx="7">
                  <c:v>3559</c:v>
                </c:pt>
                <c:pt idx="8">
                  <c:v>3810</c:v>
                </c:pt>
                <c:pt idx="9">
                  <c:v>3804</c:v>
                </c:pt>
                <c:pt idx="10">
                  <c:v>3448</c:v>
                </c:pt>
                <c:pt idx="11">
                  <c:v>2809</c:v>
                </c:pt>
                <c:pt idx="12">
                  <c:v>3086</c:v>
                </c:pt>
                <c:pt idx="13">
                  <c:v>4093</c:v>
                </c:pt>
                <c:pt idx="14">
                  <c:v>1254</c:v>
                </c:pt>
                <c:pt idx="15">
                  <c:v>2264</c:v>
                </c:pt>
                <c:pt idx="16">
                  <c:v>177</c:v>
                </c:pt>
                <c:pt idx="17">
                  <c:v>1688</c:v>
                </c:pt>
                <c:pt idx="18">
                  <c:v>611</c:v>
                </c:pt>
                <c:pt idx="19">
                  <c:v>609</c:v>
                </c:pt>
                <c:pt idx="20">
                  <c:v>2517</c:v>
                </c:pt>
                <c:pt idx="21">
                  <c:v>1820</c:v>
                </c:pt>
                <c:pt idx="22">
                  <c:v>1018</c:v>
                </c:pt>
                <c:pt idx="23">
                  <c:v>736</c:v>
                </c:pt>
                <c:pt idx="24">
                  <c:v>1019</c:v>
                </c:pt>
                <c:pt idx="25">
                  <c:v>227</c:v>
                </c:pt>
                <c:pt idx="26">
                  <c:v>483</c:v>
                </c:pt>
                <c:pt idx="27">
                  <c:v>747</c:v>
                </c:pt>
                <c:pt idx="28">
                  <c:v>177</c:v>
                </c:pt>
                <c:pt idx="29">
                  <c:v>414</c:v>
                </c:pt>
                <c:pt idx="30">
                  <c:v>392</c:v>
                </c:pt>
                <c:pt idx="31">
                  <c:v>212</c:v>
                </c:pt>
                <c:pt idx="32">
                  <c:v>246</c:v>
                </c:pt>
                <c:pt idx="33">
                  <c:v>348</c:v>
                </c:pt>
                <c:pt idx="34">
                  <c:v>72</c:v>
                </c:pt>
                <c:pt idx="35">
                  <c:v>241</c:v>
                </c:pt>
                <c:pt idx="36">
                  <c:v>496</c:v>
                </c:pt>
                <c:pt idx="37">
                  <c:v>242</c:v>
                </c:pt>
                <c:pt idx="38">
                  <c:v>159</c:v>
                </c:pt>
                <c:pt idx="39">
                  <c:v>232</c:v>
                </c:pt>
                <c:pt idx="40">
                  <c:v>441</c:v>
                </c:pt>
                <c:pt idx="41">
                  <c:v>274</c:v>
                </c:pt>
                <c:pt idx="42">
                  <c:v>190</c:v>
                </c:pt>
                <c:pt idx="43">
                  <c:v>195</c:v>
                </c:pt>
                <c:pt idx="44">
                  <c:v>235</c:v>
                </c:pt>
                <c:pt idx="45">
                  <c:v>287</c:v>
                </c:pt>
                <c:pt idx="46">
                  <c:v>138</c:v>
                </c:pt>
                <c:pt idx="47">
                  <c:v>90</c:v>
                </c:pt>
                <c:pt idx="48">
                  <c:v>256</c:v>
                </c:pt>
                <c:pt idx="49">
                  <c:v>97</c:v>
                </c:pt>
                <c:pt idx="50">
                  <c:v>221</c:v>
                </c:pt>
                <c:pt idx="51">
                  <c:v>106</c:v>
                </c:pt>
                <c:pt idx="52">
                  <c:v>117</c:v>
                </c:pt>
                <c:pt idx="53">
                  <c:v>125</c:v>
                </c:pt>
                <c:pt idx="54">
                  <c:v>79</c:v>
                </c:pt>
                <c:pt idx="55">
                  <c:v>63</c:v>
                </c:pt>
                <c:pt idx="56">
                  <c:v>38</c:v>
                </c:pt>
                <c:pt idx="57">
                  <c:v>56</c:v>
                </c:pt>
                <c:pt idx="58">
                  <c:v>38</c:v>
                </c:pt>
                <c:pt idx="59">
                  <c:v>50</c:v>
                </c:pt>
                <c:pt idx="60">
                  <c:v>37</c:v>
                </c:pt>
                <c:pt idx="61">
                  <c:v>36</c:v>
                </c:pt>
                <c:pt idx="62">
                  <c:v>26</c:v>
                </c:pt>
                <c:pt idx="63">
                  <c:v>13</c:v>
                </c:pt>
                <c:pt idx="64">
                  <c:v>23</c:v>
                </c:pt>
                <c:pt idx="65">
                  <c:v>25</c:v>
                </c:pt>
                <c:pt idx="66">
                  <c:v>29</c:v>
                </c:pt>
                <c:pt idx="67">
                  <c:v>24</c:v>
                </c:pt>
                <c:pt idx="68">
                  <c:v>12</c:v>
                </c:pt>
                <c:pt idx="69">
                  <c:v>7</c:v>
                </c:pt>
                <c:pt idx="70">
                  <c:v>2</c:v>
                </c:pt>
              </c:numCache>
            </c:numRef>
          </c:xVal>
          <c:yVal>
            <c:numRef>
              <c:f>'Category Investigation'!D59:D129</c:f>
              <c:numCache>
                <c:formatCode>_(* #,##0_);_(* \(#,##0\);_(* "-"??_);_(@_)</c:formatCode>
                <c:ptCount val="71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  <c:pt idx="10">
                  <c:v>470495.28</c:v>
                </c:pt>
                <c:pt idx="11">
                  <c:v>400421.84</c:v>
                </c:pt>
                <c:pt idx="12">
                  <c:v>390144.65</c:v>
                </c:pt>
                <c:pt idx="13">
                  <c:v>309860.23</c:v>
                </c:pt>
                <c:pt idx="14">
                  <c:v>268154.31</c:v>
                </c:pt>
                <c:pt idx="15">
                  <c:v>223788.69</c:v>
                </c:pt>
                <c:pt idx="16">
                  <c:v>218684.14</c:v>
                </c:pt>
                <c:pt idx="17">
                  <c:v>211695.64</c:v>
                </c:pt>
                <c:pt idx="18">
                  <c:v>184315.74</c:v>
                </c:pt>
                <c:pt idx="19">
                  <c:v>182754.12</c:v>
                </c:pt>
                <c:pt idx="20">
                  <c:v>155043.93</c:v>
                </c:pt>
                <c:pt idx="21">
                  <c:v>149329.39000000001</c:v>
                </c:pt>
                <c:pt idx="22">
                  <c:v>148003.37</c:v>
                </c:pt>
                <c:pt idx="23">
                  <c:v>142108.49</c:v>
                </c:pt>
                <c:pt idx="24">
                  <c:v>138701.63</c:v>
                </c:pt>
                <c:pt idx="25">
                  <c:v>107953.95</c:v>
                </c:pt>
                <c:pt idx="26">
                  <c:v>81407.570000000007</c:v>
                </c:pt>
                <c:pt idx="27">
                  <c:v>78832.479999999996</c:v>
                </c:pt>
                <c:pt idx="28">
                  <c:v>70566.100000000006</c:v>
                </c:pt>
                <c:pt idx="29">
                  <c:v>67350.7</c:v>
                </c:pt>
                <c:pt idx="30">
                  <c:v>58008.45</c:v>
                </c:pt>
                <c:pt idx="31">
                  <c:v>55315.21</c:v>
                </c:pt>
                <c:pt idx="32">
                  <c:v>53323.56</c:v>
                </c:pt>
                <c:pt idx="33">
                  <c:v>50570.6</c:v>
                </c:pt>
                <c:pt idx="34">
                  <c:v>46589.56</c:v>
                </c:pt>
                <c:pt idx="35">
                  <c:v>45531.98</c:v>
                </c:pt>
                <c:pt idx="36">
                  <c:v>45302.15</c:v>
                </c:pt>
                <c:pt idx="37">
                  <c:v>39957</c:v>
                </c:pt>
                <c:pt idx="38">
                  <c:v>38773.22</c:v>
                </c:pt>
                <c:pt idx="39">
                  <c:v>38498.81</c:v>
                </c:pt>
                <c:pt idx="40">
                  <c:v>28731.15</c:v>
                </c:pt>
                <c:pt idx="41">
                  <c:v>27795.77</c:v>
                </c:pt>
                <c:pt idx="42">
                  <c:v>25096.28</c:v>
                </c:pt>
                <c:pt idx="43">
                  <c:v>23657.3</c:v>
                </c:pt>
                <c:pt idx="44">
                  <c:v>23001.46</c:v>
                </c:pt>
                <c:pt idx="45">
                  <c:v>21529.84</c:v>
                </c:pt>
                <c:pt idx="46">
                  <c:v>21315.05</c:v>
                </c:pt>
                <c:pt idx="47">
                  <c:v>19051.8</c:v>
                </c:pt>
                <c:pt idx="48">
                  <c:v>18702.23</c:v>
                </c:pt>
                <c:pt idx="49">
                  <c:v>15903.95</c:v>
                </c:pt>
                <c:pt idx="50">
                  <c:v>14942.88</c:v>
                </c:pt>
                <c:pt idx="51">
                  <c:v>10452.33</c:v>
                </c:pt>
                <c:pt idx="52">
                  <c:v>9305.9500000000007</c:v>
                </c:pt>
                <c:pt idx="53">
                  <c:v>8737.84</c:v>
                </c:pt>
                <c:pt idx="54">
                  <c:v>7528.41</c:v>
                </c:pt>
                <c:pt idx="55">
                  <c:v>6674.47</c:v>
                </c:pt>
                <c:pt idx="56">
                  <c:v>6034.35</c:v>
                </c:pt>
                <c:pt idx="57">
                  <c:v>4542.59</c:v>
                </c:pt>
                <c:pt idx="58">
                  <c:v>4465.1899999999996</c:v>
                </c:pt>
                <c:pt idx="59">
                  <c:v>4418.8599999999997</c:v>
                </c:pt>
                <c:pt idx="60">
                  <c:v>4323.38</c:v>
                </c:pt>
                <c:pt idx="61">
                  <c:v>2634.94</c:v>
                </c:pt>
                <c:pt idx="62">
                  <c:v>2094.52</c:v>
                </c:pt>
                <c:pt idx="63">
                  <c:v>2054.9899999999998</c:v>
                </c:pt>
                <c:pt idx="64">
                  <c:v>1814.01</c:v>
                </c:pt>
                <c:pt idx="65">
                  <c:v>1500.79</c:v>
                </c:pt>
                <c:pt idx="66">
                  <c:v>1110.04</c:v>
                </c:pt>
                <c:pt idx="67">
                  <c:v>760.27</c:v>
                </c:pt>
                <c:pt idx="68">
                  <c:v>730</c:v>
                </c:pt>
                <c:pt idx="69">
                  <c:v>519.95000000000005</c:v>
                </c:pt>
                <c:pt idx="70">
                  <c:v>283.29000000000002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EE-48E4-BB76-0BD83952E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545992"/>
        <c:axId val="1989548040"/>
      </c:scatterChart>
      <c:valAx>
        <c:axId val="1989545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548040"/>
        <c:crosses val="autoZero"/>
        <c:crossBetween val="midCat"/>
      </c:valAx>
      <c:valAx>
        <c:axId val="1989548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545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Seller States by Sellers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'Operations Investigation'!$L$61</c:f>
              <c:strCache>
                <c:ptCount val="1"/>
                <c:pt idx="0">
                  <c:v>Total Sellers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'Operations Investigation'!$K$62:$K$71</c:f>
              <c:strCache>
                <c:ptCount val="10"/>
                <c:pt idx="0">
                  <c:v>SP</c:v>
                </c:pt>
                <c:pt idx="1">
                  <c:v>PR</c:v>
                </c:pt>
                <c:pt idx="2">
                  <c:v>MG</c:v>
                </c:pt>
                <c:pt idx="3">
                  <c:v>SC</c:v>
                </c:pt>
                <c:pt idx="4">
                  <c:v>RJ</c:v>
                </c:pt>
                <c:pt idx="5">
                  <c:v>RS</c:v>
                </c:pt>
                <c:pt idx="6">
                  <c:v>GO</c:v>
                </c:pt>
                <c:pt idx="7">
                  <c:v>DF</c:v>
                </c:pt>
                <c:pt idx="8">
                  <c:v>ES</c:v>
                </c:pt>
                <c:pt idx="9">
                  <c:v>BA</c:v>
                </c:pt>
              </c:strCache>
            </c:strRef>
          </c:cat>
          <c:val>
            <c:numRef>
              <c:f>'Operations Investigation'!$L$62:$L$71</c:f>
              <c:numCache>
                <c:formatCode>General</c:formatCode>
                <c:ptCount val="10"/>
                <c:pt idx="0" formatCode="_(* #,##0_);_(* \(#,##0\);_(* &quot;-&quot;??_);_(@_)">
                  <c:v>1849</c:v>
                </c:pt>
                <c:pt idx="1">
                  <c:v>349</c:v>
                </c:pt>
                <c:pt idx="2">
                  <c:v>244</c:v>
                </c:pt>
                <c:pt idx="3">
                  <c:v>190</c:v>
                </c:pt>
                <c:pt idx="4">
                  <c:v>171</c:v>
                </c:pt>
                <c:pt idx="5">
                  <c:v>129</c:v>
                </c:pt>
                <c:pt idx="6">
                  <c:v>40</c:v>
                </c:pt>
                <c:pt idx="7">
                  <c:v>30</c:v>
                </c:pt>
                <c:pt idx="8">
                  <c:v>23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2-4F1F-849F-AB6C25498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84055559"/>
        <c:axId val="84057607"/>
      </c:barChart>
      <c:catAx>
        <c:axId val="840555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57607"/>
        <c:crosses val="autoZero"/>
        <c:auto val="1"/>
        <c:lblAlgn val="ctr"/>
        <c:lblOffset val="100"/>
        <c:noMultiLvlLbl val="0"/>
      </c:catAx>
      <c:valAx>
        <c:axId val="84057607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84055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Delivery Days Across Top 10 Seller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'Operations Investigation'!Q62:Q71</c:f>
              <c:strCache>
                <c:ptCount val="10"/>
                <c:pt idx="0">
                  <c:v>BA</c:v>
                </c:pt>
                <c:pt idx="1">
                  <c:v>SC</c:v>
                </c:pt>
                <c:pt idx="2">
                  <c:v>PR</c:v>
                </c:pt>
                <c:pt idx="3">
                  <c:v>GO</c:v>
                </c:pt>
                <c:pt idx="4">
                  <c:v>ES</c:v>
                </c:pt>
                <c:pt idx="5">
                  <c:v>MG</c:v>
                </c:pt>
                <c:pt idx="6">
                  <c:v>DF</c:v>
                </c:pt>
                <c:pt idx="7">
                  <c:v>SP</c:v>
                </c:pt>
                <c:pt idx="8">
                  <c:v>RJ</c:v>
                </c:pt>
                <c:pt idx="9">
                  <c:v>RS</c:v>
                </c:pt>
              </c:strCache>
            </c:strRef>
          </c:cat>
          <c:val>
            <c:numRef>
              <c:f>'Operations Investigation'!R62:R71</c:f>
              <c:numCache>
                <c:formatCode>General</c:formatCode>
                <c:ptCount val="10"/>
                <c:pt idx="0">
                  <c:v>13.4</c:v>
                </c:pt>
                <c:pt idx="1">
                  <c:v>13.1</c:v>
                </c:pt>
                <c:pt idx="2">
                  <c:v>12.9</c:v>
                </c:pt>
                <c:pt idx="3">
                  <c:v>12.4</c:v>
                </c:pt>
                <c:pt idx="4">
                  <c:v>12.4</c:v>
                </c:pt>
                <c:pt idx="5">
                  <c:v>12.3</c:v>
                </c:pt>
                <c:pt idx="6">
                  <c:v>12.1</c:v>
                </c:pt>
                <c:pt idx="7">
                  <c:v>11.8</c:v>
                </c:pt>
                <c:pt idx="8">
                  <c:v>11.6</c:v>
                </c:pt>
                <c:pt idx="9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0-4829-9148-4D91AB499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770696"/>
        <c:axId val="14772744"/>
      </c:barChart>
      <c:catAx>
        <c:axId val="14770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2744"/>
        <c:crosses val="autoZero"/>
        <c:auto val="1"/>
        <c:lblAlgn val="ctr"/>
        <c:lblOffset val="100"/>
        <c:noMultiLvlLbl val="0"/>
      </c:catAx>
      <c:valAx>
        <c:axId val="1477274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4770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Cancellation Rate Across Top 10 Seller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'Operations Investigation'!$Y$62:$Y$71</c:f>
              <c:strCache>
                <c:ptCount val="10"/>
                <c:pt idx="0">
                  <c:v>GO</c:v>
                </c:pt>
                <c:pt idx="1">
                  <c:v>MG</c:v>
                </c:pt>
                <c:pt idx="2">
                  <c:v>RJ</c:v>
                </c:pt>
                <c:pt idx="3">
                  <c:v>SP</c:v>
                </c:pt>
                <c:pt idx="4">
                  <c:v>SC</c:v>
                </c:pt>
                <c:pt idx="5">
                  <c:v>DF</c:v>
                </c:pt>
                <c:pt idx="6">
                  <c:v>BA</c:v>
                </c:pt>
                <c:pt idx="7">
                  <c:v>PR</c:v>
                </c:pt>
                <c:pt idx="8">
                  <c:v>RS</c:v>
                </c:pt>
                <c:pt idx="9">
                  <c:v>ES</c:v>
                </c:pt>
              </c:strCache>
            </c:strRef>
          </c:cat>
          <c:val>
            <c:numRef>
              <c:f>'Operations Investigation'!$Z$62:$Z$71</c:f>
              <c:numCache>
                <c:formatCode>0.00%</c:formatCode>
                <c:ptCount val="10"/>
                <c:pt idx="0">
                  <c:v>6.4794816414686825E-3</c:v>
                </c:pt>
                <c:pt idx="1">
                  <c:v>6.3051702395964691E-3</c:v>
                </c:pt>
                <c:pt idx="2">
                  <c:v>4.8242591316333561E-3</c:v>
                </c:pt>
                <c:pt idx="3">
                  <c:v>4.7301533025588417E-3</c:v>
                </c:pt>
                <c:pt idx="4">
                  <c:v>4.635942187073902E-3</c:v>
                </c:pt>
                <c:pt idx="5">
                  <c:v>3.6407766990291263E-3</c:v>
                </c:pt>
                <c:pt idx="6">
                  <c:v>3.5149384885764497E-3</c:v>
                </c:pt>
                <c:pt idx="7">
                  <c:v>3.3885051479212824E-3</c:v>
                </c:pt>
                <c:pt idx="8">
                  <c:v>3.0165912518853697E-3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B-431B-991A-03F7CA360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256706056"/>
        <c:axId val="1256708104"/>
      </c:barChart>
      <c:catAx>
        <c:axId val="12567060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708104"/>
        <c:crosses val="autoZero"/>
        <c:auto val="1"/>
        <c:lblAlgn val="ctr"/>
        <c:lblOffset val="100"/>
        <c:noMultiLvlLbl val="0"/>
      </c:catAx>
      <c:valAx>
        <c:axId val="1256708104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256706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19</xdr:row>
      <xdr:rowOff>171450</xdr:rowOff>
    </xdr:from>
    <xdr:to>
      <xdr:col>4</xdr:col>
      <xdr:colOff>466725</xdr:colOff>
      <xdr:row>65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5F26E-A845-F43A-8B1C-2697A3BBF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914400</xdr:colOff>
      <xdr:row>19</xdr:row>
      <xdr:rowOff>161925</xdr:rowOff>
    </xdr:from>
    <xdr:to>
      <xdr:col>10</xdr:col>
      <xdr:colOff>514350</xdr:colOff>
      <xdr:row>65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EC575F-67D7-D397-F52F-D60B74D9A8F3}"/>
            </a:ext>
            <a:ext uri="{147F2762-F138-4A5C-976F-8EAC2B608ADB}">
              <a16:predDERef xmlns:a16="http://schemas.microsoft.com/office/drawing/2014/main" pred="{FB25F26E-A845-F43A-8B1C-2697A3BBF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180975</xdr:rowOff>
    </xdr:from>
    <xdr:to>
      <xdr:col>5</xdr:col>
      <xdr:colOff>581025</xdr:colOff>
      <xdr:row>29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FAC341-2B91-3A8C-39ED-659275A77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11</xdr:row>
      <xdr:rowOff>180975</xdr:rowOff>
    </xdr:from>
    <xdr:to>
      <xdr:col>12</xdr:col>
      <xdr:colOff>219075</xdr:colOff>
      <xdr:row>29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E6A753-DA84-4CD8-B73E-1EBDA32983B7}"/>
            </a:ext>
            <a:ext uri="{147F2762-F138-4A5C-976F-8EAC2B608ADB}">
              <a16:predDERef xmlns:a16="http://schemas.microsoft.com/office/drawing/2014/main" pred="{88FAC341-2B91-3A8C-39ED-659275A77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47625</xdr:colOff>
      <xdr:row>30</xdr:row>
      <xdr:rowOff>47625</xdr:rowOff>
    </xdr:from>
    <xdr:to>
      <xdr:col>9</xdr:col>
      <xdr:colOff>47625</xdr:colOff>
      <xdr:row>51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7D99B0-1523-BF07-8469-09B80AAA1548}"/>
            </a:ext>
            <a:ext uri="{147F2762-F138-4A5C-976F-8EAC2B608ADB}">
              <a16:predDERef xmlns:a16="http://schemas.microsoft.com/office/drawing/2014/main" pred="{5FE6A753-DA84-4CD8-B73E-1EBDA3298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11</xdr:row>
      <xdr:rowOff>9525</xdr:rowOff>
    </xdr:from>
    <xdr:to>
      <xdr:col>5</xdr:col>
      <xdr:colOff>200025</xdr:colOff>
      <xdr:row>26</xdr:row>
      <xdr:rowOff>161925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C2F693E-0FA9-4587-8B7B-C8EE0F08F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523875</xdr:colOff>
      <xdr:row>11</xdr:row>
      <xdr:rowOff>9525</xdr:rowOff>
    </xdr:from>
    <xdr:to>
      <xdr:col>12</xdr:col>
      <xdr:colOff>333375</xdr:colOff>
      <xdr:row>26</xdr:row>
      <xdr:rowOff>161925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9D101A4-1A16-446B-85E0-2373A1C5C061}"/>
            </a:ext>
            <a:ext uri="{147F2762-F138-4A5C-976F-8EAC2B608ADB}">
              <a16:predDERef xmlns:a16="http://schemas.microsoft.com/office/drawing/2014/main" pred="{EC2F693E-0FA9-4587-8B7B-C8EE0F08F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1295400</xdr:colOff>
      <xdr:row>28</xdr:row>
      <xdr:rowOff>104775</xdr:rowOff>
    </xdr:from>
    <xdr:to>
      <xdr:col>8</xdr:col>
      <xdr:colOff>819150</xdr:colOff>
      <xdr:row>48</xdr:row>
      <xdr:rowOff>142875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3A8375BB-D5C1-4FCA-B12C-8EEB64802272}"/>
            </a:ext>
            <a:ext uri="{147F2762-F138-4A5C-976F-8EAC2B608ADB}">
              <a16:predDERef xmlns:a16="http://schemas.microsoft.com/office/drawing/2014/main" pred="{99D101A4-1A16-446B-85E0-2373A1C5C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66675</xdr:rowOff>
    </xdr:from>
    <xdr:to>
      <xdr:col>5</xdr:col>
      <xdr:colOff>104775</xdr:colOff>
      <xdr:row>29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B7BA5A-CA54-B1AF-2E63-81D813660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11</xdr:row>
      <xdr:rowOff>38100</xdr:rowOff>
    </xdr:from>
    <xdr:to>
      <xdr:col>10</xdr:col>
      <xdr:colOff>142875</xdr:colOff>
      <xdr:row>29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0DB01A-8E61-AEB4-387B-04D71EB6FF6E}"/>
            </a:ext>
            <a:ext uri="{147F2762-F138-4A5C-976F-8EAC2B608ADB}">
              <a16:predDERef xmlns:a16="http://schemas.microsoft.com/office/drawing/2014/main" pred="{B2B7BA5A-CA54-B1AF-2E63-81D813660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828675</xdr:colOff>
      <xdr:row>30</xdr:row>
      <xdr:rowOff>171450</xdr:rowOff>
    </xdr:from>
    <xdr:to>
      <xdr:col>7</xdr:col>
      <xdr:colOff>1114425</xdr:colOff>
      <xdr:row>48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31528C-9853-93E2-0D58-F84C01DC63D1}"/>
            </a:ext>
            <a:ext uri="{147F2762-F138-4A5C-976F-8EAC2B608ADB}">
              <a16:predDERef xmlns:a16="http://schemas.microsoft.com/office/drawing/2014/main" pred="{FF0DB01A-8E61-AEB4-387B-04D71EB6F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K30"/>
  <sheetViews>
    <sheetView showGridLines="0" workbookViewId="0">
      <selection activeCell="F19" sqref="F19"/>
    </sheetView>
  </sheetViews>
  <sheetFormatPr defaultRowHeight="15"/>
  <cols>
    <col min="1" max="1" width="12.28515625" style="1" customWidth="1"/>
    <col min="2" max="2" width="45.42578125" style="1" customWidth="1"/>
    <col min="3" max="16384" width="9.140625" style="1"/>
  </cols>
  <sheetData>
    <row r="1" spans="1:11" ht="12" customHeight="1">
      <c r="A1" s="29"/>
      <c r="B1" s="29"/>
      <c r="C1" s="29"/>
      <c r="D1" s="29"/>
      <c r="E1" s="29"/>
      <c r="F1" s="29"/>
      <c r="G1" s="29"/>
      <c r="H1" s="29"/>
      <c r="I1" s="29"/>
    </row>
    <row r="2" spans="1:11" ht="11.25" customHeight="1">
      <c r="A2" s="29"/>
      <c r="B2" s="29"/>
      <c r="C2" s="29"/>
      <c r="D2" s="29"/>
      <c r="E2" s="29"/>
      <c r="F2" s="29"/>
      <c r="G2" s="29"/>
      <c r="H2" s="29"/>
      <c r="I2" s="29"/>
    </row>
    <row r="3" spans="1:11" ht="30.75" customHeight="1">
      <c r="A3" s="49" t="s">
        <v>0</v>
      </c>
      <c r="B3" s="50"/>
      <c r="C3" s="50"/>
      <c r="D3" s="50"/>
      <c r="E3" s="50"/>
      <c r="F3" s="50"/>
      <c r="G3" s="51"/>
      <c r="H3" s="51"/>
      <c r="I3" s="51"/>
      <c r="J3" s="3"/>
      <c r="K3" s="2"/>
    </row>
    <row r="4" spans="1:11" ht="18.75" customHeight="1">
      <c r="A4" s="29"/>
      <c r="B4" s="29"/>
      <c r="C4" s="29"/>
      <c r="D4" s="29"/>
      <c r="E4" s="29"/>
      <c r="F4" s="29"/>
      <c r="G4" s="29"/>
      <c r="H4" s="29"/>
      <c r="I4" s="29"/>
    </row>
    <row r="5" spans="1:11" ht="21" customHeight="1">
      <c r="A5" s="52" t="s">
        <v>1</v>
      </c>
      <c r="B5" s="53" t="s">
        <v>2</v>
      </c>
      <c r="C5" s="26"/>
      <c r="D5" s="26"/>
      <c r="E5" s="26"/>
      <c r="F5" s="29"/>
      <c r="G5" s="29"/>
      <c r="H5" s="29"/>
      <c r="I5" s="29"/>
    </row>
    <row r="6" spans="1:11" ht="18.75" customHeight="1">
      <c r="A6" s="54" t="s">
        <v>3</v>
      </c>
      <c r="B6" s="55" t="s">
        <v>4</v>
      </c>
      <c r="C6" s="26"/>
      <c r="D6" s="26"/>
      <c r="E6" s="26"/>
      <c r="F6" s="29"/>
      <c r="G6" s="29"/>
      <c r="H6" s="29"/>
      <c r="I6" s="29"/>
    </row>
    <row r="7" spans="1:11" ht="18" customHeight="1">
      <c r="A7" s="54" t="s">
        <v>5</v>
      </c>
      <c r="B7" s="55" t="s">
        <v>6</v>
      </c>
      <c r="C7" s="26"/>
      <c r="D7" s="26"/>
      <c r="E7" s="26"/>
      <c r="F7" s="29"/>
      <c r="G7" s="29"/>
      <c r="H7" s="29"/>
      <c r="I7" s="29"/>
    </row>
    <row r="8" spans="1:11" ht="19.5" customHeight="1">
      <c r="A8" s="54" t="s">
        <v>7</v>
      </c>
      <c r="B8" s="55" t="s">
        <v>8</v>
      </c>
      <c r="C8" s="26"/>
      <c r="D8" s="26"/>
      <c r="E8" s="26"/>
      <c r="F8" s="29"/>
      <c r="G8" s="29"/>
      <c r="H8" s="29"/>
      <c r="I8" s="29"/>
    </row>
    <row r="9" spans="1:11" ht="17.25" customHeight="1">
      <c r="A9" s="56"/>
      <c r="B9" s="55"/>
      <c r="C9" s="26"/>
      <c r="D9" s="26"/>
      <c r="E9" s="26"/>
      <c r="F9" s="29"/>
      <c r="G9" s="29"/>
      <c r="H9" s="29"/>
      <c r="I9" s="29"/>
    </row>
    <row r="10" spans="1:11" ht="20.25" customHeight="1">
      <c r="A10" s="153" t="s">
        <v>9</v>
      </c>
      <c r="B10" s="154"/>
      <c r="C10" s="26"/>
      <c r="D10" s="26"/>
      <c r="E10" s="26"/>
      <c r="F10" s="29"/>
      <c r="G10" s="29"/>
      <c r="H10" s="29"/>
      <c r="I10" s="29"/>
    </row>
    <row r="11" spans="1:11" ht="18.75" customHeight="1">
      <c r="A11" s="149" t="s">
        <v>10</v>
      </c>
      <c r="B11" s="150"/>
      <c r="C11" s="26"/>
      <c r="D11" s="26"/>
      <c r="E11" s="26"/>
      <c r="F11" s="29"/>
      <c r="G11" s="29"/>
      <c r="H11" s="29"/>
      <c r="I11" s="29"/>
    </row>
    <row r="12" spans="1:11" ht="19.5" customHeight="1">
      <c r="A12" s="149" t="s">
        <v>11</v>
      </c>
      <c r="B12" s="150"/>
      <c r="C12" s="26"/>
      <c r="D12" s="26"/>
      <c r="E12" s="26"/>
      <c r="F12" s="29"/>
      <c r="G12" s="29"/>
      <c r="H12" s="29"/>
      <c r="I12" s="29"/>
    </row>
    <row r="13" spans="1:11">
      <c r="A13" s="149" t="s">
        <v>12</v>
      </c>
      <c r="B13" s="150"/>
      <c r="C13" s="26"/>
      <c r="D13" s="26"/>
      <c r="E13" s="26"/>
      <c r="F13" s="29"/>
      <c r="G13" s="29"/>
      <c r="H13" s="29"/>
      <c r="I13" s="29"/>
    </row>
    <row r="14" spans="1:11" ht="18" customHeight="1">
      <c r="A14" s="151" t="s">
        <v>13</v>
      </c>
      <c r="B14" s="152"/>
      <c r="C14" s="26"/>
      <c r="D14" s="26"/>
      <c r="E14" s="26"/>
      <c r="F14" s="29"/>
      <c r="G14" s="29"/>
      <c r="H14" s="29"/>
      <c r="I14" s="29"/>
      <c r="K14" s="4"/>
    </row>
    <row r="15" spans="1:11" ht="10.5" customHeight="1">
      <c r="A15" s="29"/>
      <c r="B15" s="29"/>
      <c r="C15" s="29"/>
      <c r="D15" s="29"/>
      <c r="E15" s="29"/>
      <c r="F15" s="29"/>
      <c r="G15" s="29"/>
      <c r="H15" s="29"/>
      <c r="I15" s="29"/>
    </row>
    <row r="16" spans="1:11">
      <c r="A16" s="29"/>
      <c r="B16" s="29"/>
      <c r="C16" s="29"/>
      <c r="D16" s="29"/>
      <c r="E16" s="29"/>
      <c r="F16" s="29"/>
      <c r="G16" s="29"/>
      <c r="H16" s="29"/>
      <c r="I16" s="29"/>
    </row>
    <row r="17" spans="1:9" ht="20.25" customHeight="1">
      <c r="A17" s="155" t="s">
        <v>14</v>
      </c>
      <c r="B17" s="156"/>
      <c r="C17" s="29"/>
      <c r="D17" s="29"/>
      <c r="E17" s="29"/>
      <c r="F17" s="29"/>
      <c r="G17" s="29"/>
      <c r="H17" s="29"/>
      <c r="I17" s="29"/>
    </row>
    <row r="18" spans="1:9" ht="18.75" customHeight="1">
      <c r="A18" s="149" t="s">
        <v>15</v>
      </c>
      <c r="B18" s="150"/>
      <c r="C18" s="29"/>
      <c r="D18" s="29"/>
      <c r="E18" s="29"/>
      <c r="F18" s="29"/>
      <c r="G18" s="29"/>
      <c r="H18" s="29"/>
      <c r="I18" s="29"/>
    </row>
    <row r="19" spans="1:9" ht="20.25" customHeight="1">
      <c r="A19" s="149" t="s">
        <v>16</v>
      </c>
      <c r="B19" s="150"/>
      <c r="C19" s="29"/>
      <c r="D19" s="29"/>
      <c r="E19" s="29"/>
      <c r="F19" s="29"/>
      <c r="G19" s="29"/>
      <c r="H19" s="29"/>
      <c r="I19" s="29"/>
    </row>
    <row r="20" spans="1:9" ht="19.5" customHeight="1">
      <c r="A20" s="149" t="s">
        <v>17</v>
      </c>
      <c r="B20" s="150"/>
      <c r="C20" s="29"/>
      <c r="D20" s="29"/>
      <c r="E20" s="29"/>
      <c r="F20" s="29"/>
      <c r="G20" s="29"/>
      <c r="H20" s="29"/>
      <c r="I20" s="29"/>
    </row>
    <row r="21" spans="1:9" ht="20.25" customHeight="1">
      <c r="A21" s="149" t="s">
        <v>18</v>
      </c>
      <c r="B21" s="150"/>
      <c r="C21" s="29"/>
      <c r="D21" s="29"/>
      <c r="E21" s="29"/>
      <c r="F21" s="29"/>
      <c r="G21" s="29"/>
      <c r="H21" s="29"/>
      <c r="I21" s="29"/>
    </row>
    <row r="22" spans="1:9" ht="20.25" customHeight="1">
      <c r="A22" s="151" t="s">
        <v>19</v>
      </c>
      <c r="B22" s="152"/>
      <c r="C22" s="29"/>
      <c r="D22" s="29"/>
      <c r="E22" s="29"/>
      <c r="F22" s="29"/>
      <c r="G22" s="29"/>
      <c r="H22" s="29"/>
      <c r="I22" s="29"/>
    </row>
    <row r="23" spans="1:9">
      <c r="A23" s="29"/>
      <c r="B23" s="29"/>
      <c r="C23" s="29"/>
      <c r="D23" s="29"/>
      <c r="E23" s="29"/>
      <c r="F23" s="29"/>
      <c r="G23" s="29"/>
      <c r="H23" s="29"/>
      <c r="I23" s="29"/>
    </row>
    <row r="24" spans="1:9">
      <c r="A24" s="29"/>
      <c r="B24" s="29"/>
      <c r="C24" s="29"/>
      <c r="D24" s="29"/>
      <c r="E24" s="29"/>
      <c r="F24" s="29"/>
      <c r="G24" s="29"/>
      <c r="H24" s="29"/>
      <c r="I24" s="29"/>
    </row>
    <row r="25" spans="1:9">
      <c r="A25" s="29"/>
      <c r="B25" s="29"/>
      <c r="C25" s="29"/>
      <c r="D25" s="29"/>
      <c r="E25" s="29"/>
      <c r="F25" s="29"/>
      <c r="G25" s="29"/>
      <c r="H25" s="29"/>
      <c r="I25" s="29"/>
    </row>
    <row r="26" spans="1:9">
      <c r="A26" s="29"/>
      <c r="B26" s="29"/>
      <c r="C26" s="29"/>
      <c r="D26" s="29"/>
      <c r="E26" s="29"/>
      <c r="F26" s="29"/>
      <c r="G26" s="29"/>
      <c r="H26" s="29"/>
      <c r="I26" s="29"/>
    </row>
    <row r="27" spans="1:9">
      <c r="A27" s="29"/>
      <c r="B27" s="29"/>
      <c r="C27" s="29"/>
      <c r="D27" s="29"/>
      <c r="E27" s="29"/>
      <c r="F27" s="29"/>
      <c r="G27" s="29"/>
      <c r="H27" s="29"/>
      <c r="I27" s="29"/>
    </row>
    <row r="28" spans="1:9">
      <c r="A28" s="29"/>
      <c r="B28" s="29"/>
      <c r="C28" s="29"/>
      <c r="D28" s="29"/>
      <c r="E28" s="29"/>
      <c r="F28" s="29"/>
      <c r="G28" s="29"/>
      <c r="H28" s="29"/>
      <c r="I28" s="29"/>
    </row>
    <row r="29" spans="1:9">
      <c r="A29" s="29"/>
      <c r="B29" s="29"/>
      <c r="C29" s="29"/>
      <c r="D29" s="29"/>
      <c r="E29" s="29"/>
      <c r="F29" s="29"/>
      <c r="G29" s="29"/>
      <c r="H29" s="29"/>
      <c r="I29" s="29"/>
    </row>
    <row r="30" spans="1:9">
      <c r="A30" s="29"/>
      <c r="B30" s="29"/>
      <c r="C30" s="29"/>
      <c r="D30" s="29"/>
      <c r="E30" s="29"/>
      <c r="F30" s="29"/>
      <c r="G30" s="29"/>
      <c r="H30" s="29"/>
      <c r="I30" s="29"/>
    </row>
  </sheetData>
  <mergeCells count="11">
    <mergeCell ref="A18:B18"/>
    <mergeCell ref="A19:B19"/>
    <mergeCell ref="A20:B20"/>
    <mergeCell ref="A21:B21"/>
    <mergeCell ref="A22:B22"/>
    <mergeCell ref="A12:B12"/>
    <mergeCell ref="A11:B11"/>
    <mergeCell ref="A13:B13"/>
    <mergeCell ref="A14:B14"/>
    <mergeCell ref="A10:B10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C137-889C-4DD7-8EB1-BD02473F6320}">
  <sheetPr>
    <tabColor rgb="FF0070C0"/>
  </sheetPr>
  <dimension ref="A2:S63"/>
  <sheetViews>
    <sheetView showGridLines="0" workbookViewId="0">
      <selection activeCell="D69" sqref="D69"/>
    </sheetView>
  </sheetViews>
  <sheetFormatPr defaultRowHeight="15"/>
  <cols>
    <col min="1" max="1" width="21.42578125" style="1" bestFit="1" customWidth="1"/>
    <col min="2" max="2" width="18.7109375" style="1" customWidth="1"/>
    <col min="3" max="3" width="15.140625" style="1" customWidth="1"/>
    <col min="4" max="4" width="19.140625" style="1" customWidth="1"/>
    <col min="5" max="5" width="16.7109375" style="1" customWidth="1"/>
    <col min="6" max="6" width="14.28515625" style="1" customWidth="1"/>
    <col min="7" max="7" width="17.85546875" style="1" customWidth="1"/>
    <col min="8" max="8" width="11" style="1" customWidth="1"/>
    <col min="9" max="9" width="9.140625" style="1"/>
    <col min="10" max="10" width="13.85546875" style="1" customWidth="1"/>
    <col min="11" max="11" width="14.7109375" style="1" customWidth="1"/>
    <col min="12" max="12" width="11.140625" style="1" customWidth="1"/>
    <col min="13" max="13" width="12.7109375" style="1" customWidth="1"/>
    <col min="14" max="14" width="14.85546875" style="1" customWidth="1"/>
    <col min="15" max="15" width="15.7109375" style="1" customWidth="1"/>
    <col min="16" max="16" width="16.28515625" style="1" customWidth="1"/>
    <col min="17" max="17" width="20.7109375" style="1" customWidth="1"/>
    <col min="18" max="16384" width="9.140625" style="1"/>
  </cols>
  <sheetData>
    <row r="2" spans="1:8">
      <c r="A2" s="109" t="s">
        <v>20</v>
      </c>
      <c r="B2" s="110"/>
      <c r="C2" s="110"/>
      <c r="D2" s="110"/>
      <c r="E2" s="110"/>
      <c r="F2" s="110"/>
      <c r="G2" s="110"/>
      <c r="H2" s="110"/>
    </row>
    <row r="3" spans="1:8">
      <c r="A3" s="110"/>
      <c r="B3" s="110"/>
      <c r="C3" s="110"/>
      <c r="D3" s="110"/>
      <c r="E3" s="110"/>
      <c r="F3" s="110"/>
      <c r="G3" s="110"/>
      <c r="H3" s="110"/>
    </row>
    <row r="5" spans="1:8" ht="15.75">
      <c r="A5" s="5" t="s">
        <v>21</v>
      </c>
      <c r="B5" s="5"/>
      <c r="C5" s="5"/>
      <c r="D5" s="5"/>
      <c r="E5" s="5"/>
      <c r="F5" s="5"/>
      <c r="G5" s="5"/>
      <c r="H5" s="5"/>
    </row>
    <row r="7" spans="1:8">
      <c r="A7" s="125" t="s">
        <v>22</v>
      </c>
      <c r="B7" s="126"/>
      <c r="C7" s="77" t="s">
        <v>23</v>
      </c>
      <c r="D7" s="79"/>
      <c r="E7" s="77" t="s">
        <v>24</v>
      </c>
      <c r="F7" s="79"/>
      <c r="G7" s="77" t="s">
        <v>25</v>
      </c>
      <c r="H7" s="79"/>
    </row>
    <row r="8" spans="1:8" ht="21">
      <c r="A8" s="57"/>
      <c r="B8" s="59"/>
      <c r="C8" s="57"/>
      <c r="D8" s="59"/>
      <c r="E8" s="57"/>
      <c r="F8" s="6"/>
      <c r="G8" s="57"/>
      <c r="H8" s="7"/>
    </row>
    <row r="9" spans="1:8" ht="21">
      <c r="A9" s="127" t="s">
        <v>26</v>
      </c>
      <c r="B9" s="128"/>
      <c r="C9" s="129">
        <f>SUM($B$36:$B$60)</f>
        <v>99440</v>
      </c>
      <c r="D9" s="130"/>
      <c r="E9" s="60">
        <f>SUM($C$36:$C$60)/SUM($B$36:$B$60)</f>
        <v>160.99026297264683</v>
      </c>
      <c r="F9" s="11"/>
      <c r="G9" s="58">
        <f>SUM($K$36:$K$62)</f>
        <v>93395</v>
      </c>
      <c r="H9" s="12"/>
    </row>
    <row r="11" spans="1:8" ht="15.75">
      <c r="A11" s="5" t="s">
        <v>27</v>
      </c>
      <c r="B11" s="5"/>
      <c r="C11" s="5"/>
      <c r="D11" s="5"/>
      <c r="E11" s="5"/>
      <c r="F11" s="5"/>
      <c r="G11" s="5"/>
      <c r="H11" s="5"/>
    </row>
    <row r="13" spans="1:8">
      <c r="A13" s="77" t="s">
        <v>28</v>
      </c>
      <c r="B13" s="78" t="s">
        <v>29</v>
      </c>
      <c r="C13" s="78" t="s">
        <v>30</v>
      </c>
      <c r="D13" s="78" t="s">
        <v>31</v>
      </c>
      <c r="E13" s="79" t="s">
        <v>32</v>
      </c>
    </row>
    <row r="14" spans="1:8">
      <c r="A14" s="135">
        <v>2016</v>
      </c>
      <c r="B14" s="136">
        <f>SUMIFS($C$36:$C$60,$A$36:$A$60,"&gt;="&amp;DATE(A14,1,1),$A$36:$A$60,"&lt;"&amp;DATE(A14+1,1,1))</f>
        <v>59362.340000000004</v>
      </c>
      <c r="C14" s="136">
        <f>SUMIFS($B$36:$B$60,$A$36:$A$60,"&gt;="&amp;DATE(A14,1,1),$A$36:$A$60,"&lt;"&amp;DATE(A14+1,1,1))</f>
        <v>328</v>
      </c>
      <c r="D14" s="137">
        <f>B14/C14</f>
        <v>180.98274390243904</v>
      </c>
      <c r="E14" s="9"/>
    </row>
    <row r="15" spans="1:8">
      <c r="A15" s="135">
        <v>2017</v>
      </c>
      <c r="B15" s="136">
        <f t="shared" ref="B15:B16" si="0">SUMIFS($C$36:$C$60,$A$36:$A$60,"&gt;="&amp;DATE(A15,1,1),$A$36:$A$60,"&lt;"&amp;DATE(A15+1,1,1))</f>
        <v>7249746.9000000004</v>
      </c>
      <c r="C15" s="136">
        <f t="shared" ref="C15:C16" si="1">SUMIFS($B$36:$B$60,$A$36:$A$60,"&gt;="&amp;DATE(A15,1,1),$A$36:$A$60,"&lt;"&amp;DATE(A15+1,1,1))</f>
        <v>45101</v>
      </c>
      <c r="D15" s="137">
        <f t="shared" ref="D15:D16" si="2">B15/C15</f>
        <v>160.74470410855636</v>
      </c>
      <c r="E15" s="138"/>
    </row>
    <row r="16" spans="1:8">
      <c r="A16" s="139">
        <v>2018</v>
      </c>
      <c r="B16" s="140">
        <f t="shared" si="0"/>
        <v>8699762.5099999998</v>
      </c>
      <c r="C16" s="140">
        <f t="shared" si="1"/>
        <v>54011</v>
      </c>
      <c r="D16" s="141">
        <f t="shared" si="2"/>
        <v>161.07390179778193</v>
      </c>
      <c r="E16" s="142">
        <f>IFERROR((B16-B15)/B15,"—")</f>
        <v>0.20000913549133686</v>
      </c>
    </row>
    <row r="18" spans="1:5">
      <c r="A18" s="27" t="s">
        <v>33</v>
      </c>
      <c r="B18" s="27"/>
      <c r="C18" s="27"/>
      <c r="D18" s="27"/>
      <c r="E18" s="27"/>
    </row>
    <row r="35" spans="1:19" hidden="1">
      <c r="A35" s="14" t="s">
        <v>34</v>
      </c>
      <c r="B35" s="14" t="s">
        <v>35</v>
      </c>
      <c r="C35" s="14" t="s">
        <v>36</v>
      </c>
      <c r="D35" s="14" t="s">
        <v>37</v>
      </c>
      <c r="E35" s="14" t="s">
        <v>38</v>
      </c>
      <c r="F35" s="14" t="s">
        <v>39</v>
      </c>
      <c r="G35" s="14" t="s">
        <v>40</v>
      </c>
      <c r="H35" s="14" t="s">
        <v>41</v>
      </c>
      <c r="I35" s="28"/>
      <c r="J35" s="14" t="s">
        <v>42</v>
      </c>
      <c r="K35" s="14" t="s">
        <v>43</v>
      </c>
      <c r="L35" s="14" t="s">
        <v>35</v>
      </c>
      <c r="M35" s="14" t="s">
        <v>44</v>
      </c>
      <c r="N35" s="14" t="s">
        <v>37</v>
      </c>
      <c r="O35" s="14" t="s">
        <v>45</v>
      </c>
      <c r="P35" s="14" t="s">
        <v>46</v>
      </c>
      <c r="Q35" s="14" t="s">
        <v>47</v>
      </c>
      <c r="R35" s="28"/>
      <c r="S35" s="28"/>
    </row>
    <row r="36" spans="1:19" hidden="1">
      <c r="A36" s="13">
        <v>42614</v>
      </c>
      <c r="B36" s="14">
        <v>3</v>
      </c>
      <c r="C36" s="14">
        <v>252.24</v>
      </c>
      <c r="D36" s="14">
        <v>84.08</v>
      </c>
      <c r="E36" s="14">
        <v>3</v>
      </c>
      <c r="F36" s="14"/>
      <c r="G36" s="14">
        <v>252.24</v>
      </c>
      <c r="H36" s="14">
        <v>84.08</v>
      </c>
      <c r="I36" s="28"/>
      <c r="J36" s="14" t="s">
        <v>48</v>
      </c>
      <c r="K36" s="14">
        <v>39155</v>
      </c>
      <c r="L36" s="14">
        <v>40500</v>
      </c>
      <c r="M36" s="14">
        <v>5799847</v>
      </c>
      <c r="N36" s="14">
        <v>136.33000000000001</v>
      </c>
      <c r="O36" s="14">
        <v>4.25</v>
      </c>
      <c r="P36" s="14">
        <v>8.6999999999999993</v>
      </c>
      <c r="Q36" s="14">
        <v>37.44</v>
      </c>
      <c r="R36" s="28"/>
      <c r="S36" s="28"/>
    </row>
    <row r="37" spans="1:19" hidden="1">
      <c r="A37" s="13">
        <v>42644</v>
      </c>
      <c r="B37" s="14">
        <v>324</v>
      </c>
      <c r="C37" s="14">
        <v>59090.48</v>
      </c>
      <c r="D37" s="14">
        <v>172.78</v>
      </c>
      <c r="E37" s="14">
        <v>324</v>
      </c>
      <c r="F37" s="14">
        <v>23326.29</v>
      </c>
      <c r="G37" s="14">
        <v>59342.720000000001</v>
      </c>
      <c r="H37" s="14">
        <v>182.38</v>
      </c>
      <c r="I37" s="28"/>
      <c r="J37" s="14" t="s">
        <v>49</v>
      </c>
      <c r="K37" s="14">
        <v>11917</v>
      </c>
      <c r="L37" s="14">
        <v>12350</v>
      </c>
      <c r="M37" s="14">
        <v>2063882.53</v>
      </c>
      <c r="N37" s="14">
        <v>157.75</v>
      </c>
      <c r="O37" s="14">
        <v>3.97</v>
      </c>
      <c r="P37" s="14">
        <v>15.3</v>
      </c>
      <c r="Q37" s="14">
        <v>13.32</v>
      </c>
      <c r="R37" s="28"/>
      <c r="S37" s="28"/>
    </row>
    <row r="38" spans="1:19" hidden="1">
      <c r="A38" s="13">
        <v>42705</v>
      </c>
      <c r="B38" s="14">
        <v>1</v>
      </c>
      <c r="C38" s="14">
        <v>19.62</v>
      </c>
      <c r="D38" s="14">
        <v>19.62</v>
      </c>
      <c r="E38" s="14">
        <v>1</v>
      </c>
      <c r="F38" s="14">
        <v>-99.97</v>
      </c>
      <c r="G38" s="14">
        <v>59362.34</v>
      </c>
      <c r="H38" s="14">
        <v>19.62</v>
      </c>
      <c r="I38" s="28"/>
      <c r="J38" s="14" t="s">
        <v>50</v>
      </c>
      <c r="K38" s="14">
        <v>11001</v>
      </c>
      <c r="L38" s="14">
        <v>11354</v>
      </c>
      <c r="M38" s="14">
        <v>1826872.47</v>
      </c>
      <c r="N38" s="14">
        <v>153.87</v>
      </c>
      <c r="O38" s="14">
        <v>4.1900000000000004</v>
      </c>
      <c r="P38" s="14">
        <v>11.9</v>
      </c>
      <c r="Q38" s="14">
        <v>11.79</v>
      </c>
      <c r="R38" s="28"/>
      <c r="S38" s="28"/>
    </row>
    <row r="39" spans="1:19" hidden="1">
      <c r="A39" s="13">
        <v>42736</v>
      </c>
      <c r="B39" s="14">
        <v>800</v>
      </c>
      <c r="C39" s="14">
        <v>138488</v>
      </c>
      <c r="D39" s="14">
        <v>162.93</v>
      </c>
      <c r="E39" s="14">
        <v>800</v>
      </c>
      <c r="F39" s="14">
        <v>705751.4</v>
      </c>
      <c r="G39" s="14">
        <v>197850.4</v>
      </c>
      <c r="H39" s="14">
        <v>173.11</v>
      </c>
      <c r="I39" s="28"/>
      <c r="J39" s="14" t="s">
        <v>51</v>
      </c>
      <c r="K39" s="14">
        <v>5168</v>
      </c>
      <c r="L39" s="14">
        <v>5345</v>
      </c>
      <c r="M39" s="14">
        <v>866206.87</v>
      </c>
      <c r="N39" s="14">
        <v>155.21</v>
      </c>
      <c r="O39" s="14">
        <v>4.18</v>
      </c>
      <c r="P39" s="14">
        <v>15.2</v>
      </c>
      <c r="Q39" s="14">
        <v>5.59</v>
      </c>
      <c r="R39" s="28"/>
      <c r="S39" s="28"/>
    </row>
    <row r="40" spans="1:19" hidden="1">
      <c r="A40" s="13">
        <v>42767</v>
      </c>
      <c r="B40" s="14">
        <v>1780</v>
      </c>
      <c r="C40" s="14">
        <v>291908</v>
      </c>
      <c r="D40" s="14">
        <v>154.78</v>
      </c>
      <c r="E40" s="14">
        <v>1780</v>
      </c>
      <c r="F40" s="14">
        <v>110.78</v>
      </c>
      <c r="G40" s="14">
        <v>489758.4</v>
      </c>
      <c r="H40" s="14">
        <v>163.99</v>
      </c>
      <c r="I40" s="28"/>
      <c r="J40" s="14" t="s">
        <v>52</v>
      </c>
      <c r="K40" s="14">
        <v>4769</v>
      </c>
      <c r="L40" s="14">
        <v>4923</v>
      </c>
      <c r="M40" s="14">
        <v>785305.81</v>
      </c>
      <c r="N40" s="14">
        <v>152.49</v>
      </c>
      <c r="O40" s="14">
        <v>4.24</v>
      </c>
      <c r="P40" s="14">
        <v>12</v>
      </c>
      <c r="Q40" s="14">
        <v>5.07</v>
      </c>
      <c r="R40" s="28"/>
      <c r="S40" s="28"/>
    </row>
    <row r="41" spans="1:19" hidden="1">
      <c r="A41" s="13">
        <v>42795</v>
      </c>
      <c r="B41" s="14">
        <v>2682</v>
      </c>
      <c r="C41" s="14">
        <v>449863.6</v>
      </c>
      <c r="D41" s="14">
        <v>158.57</v>
      </c>
      <c r="E41" s="14">
        <v>2682</v>
      </c>
      <c r="F41" s="14">
        <v>54.11</v>
      </c>
      <c r="G41" s="14">
        <v>939622</v>
      </c>
      <c r="H41" s="14">
        <v>167.73</v>
      </c>
      <c r="I41" s="28"/>
      <c r="J41" s="14" t="s">
        <v>53</v>
      </c>
      <c r="K41" s="14">
        <v>3449</v>
      </c>
      <c r="L41" s="14">
        <v>3546</v>
      </c>
      <c r="M41" s="14">
        <v>597148.44999999995</v>
      </c>
      <c r="N41" s="14">
        <v>162.4</v>
      </c>
      <c r="O41" s="14">
        <v>4.13</v>
      </c>
      <c r="P41" s="14">
        <v>14.9</v>
      </c>
      <c r="Q41" s="14">
        <v>3.85</v>
      </c>
      <c r="R41" s="28"/>
      <c r="S41" s="28"/>
    </row>
    <row r="42" spans="1:19" hidden="1">
      <c r="A42" s="13">
        <v>42826</v>
      </c>
      <c r="B42" s="14">
        <v>2404</v>
      </c>
      <c r="C42" s="14">
        <v>417788</v>
      </c>
      <c r="D42" s="14">
        <v>162.5</v>
      </c>
      <c r="E42" s="14">
        <v>2404</v>
      </c>
      <c r="F42" s="14">
        <v>-7.13</v>
      </c>
      <c r="G42" s="14">
        <v>1357410</v>
      </c>
      <c r="H42" s="14">
        <v>173.79</v>
      </c>
      <c r="I42" s="28"/>
      <c r="J42" s="14" t="s">
        <v>54</v>
      </c>
      <c r="K42" s="14">
        <v>3158</v>
      </c>
      <c r="L42" s="14">
        <v>3256</v>
      </c>
      <c r="M42" s="14">
        <v>593541.16</v>
      </c>
      <c r="N42" s="14">
        <v>169.58</v>
      </c>
      <c r="O42" s="14">
        <v>3.93</v>
      </c>
      <c r="P42" s="14">
        <v>19.2</v>
      </c>
      <c r="Q42" s="14">
        <v>3.83</v>
      </c>
      <c r="R42" s="28"/>
      <c r="S42" s="28"/>
    </row>
    <row r="43" spans="1:19" hidden="1">
      <c r="A43" s="13">
        <v>42856</v>
      </c>
      <c r="B43" s="14">
        <v>3700</v>
      </c>
      <c r="C43" s="14">
        <v>592918.80000000005</v>
      </c>
      <c r="D43" s="14">
        <v>150.33000000000001</v>
      </c>
      <c r="E43" s="14">
        <v>3700</v>
      </c>
      <c r="F43" s="14">
        <v>41.92</v>
      </c>
      <c r="G43" s="14">
        <v>1950329</v>
      </c>
      <c r="H43" s="14">
        <v>160.25</v>
      </c>
      <c r="I43" s="28"/>
      <c r="J43" s="14" t="s">
        <v>55</v>
      </c>
      <c r="K43" s="14">
        <v>2019</v>
      </c>
      <c r="L43" s="14">
        <v>2080</v>
      </c>
      <c r="M43" s="14">
        <v>348624.23</v>
      </c>
      <c r="N43" s="14">
        <v>161.33000000000001</v>
      </c>
      <c r="O43" s="14">
        <v>4.13</v>
      </c>
      <c r="P43" s="14">
        <v>12.9</v>
      </c>
      <c r="Q43" s="14">
        <v>2.25</v>
      </c>
      <c r="R43" s="28"/>
      <c r="S43" s="28"/>
    </row>
    <row r="44" spans="1:19" hidden="1">
      <c r="A44" s="13">
        <v>42887</v>
      </c>
      <c r="B44" s="14">
        <v>3245</v>
      </c>
      <c r="C44" s="14">
        <v>511276.4</v>
      </c>
      <c r="D44" s="14">
        <v>148.80000000000001</v>
      </c>
      <c r="E44" s="14">
        <v>3245</v>
      </c>
      <c r="F44" s="14">
        <v>-13.77</v>
      </c>
      <c r="G44" s="14">
        <v>2461605</v>
      </c>
      <c r="H44" s="14">
        <v>157.56</v>
      </c>
      <c r="I44" s="28"/>
      <c r="J44" s="14" t="s">
        <v>56</v>
      </c>
      <c r="K44" s="14">
        <v>1895</v>
      </c>
      <c r="L44" s="14">
        <v>1957</v>
      </c>
      <c r="M44" s="14">
        <v>337747.38</v>
      </c>
      <c r="N44" s="14">
        <v>163.47999999999999</v>
      </c>
      <c r="O44" s="14">
        <v>4.09</v>
      </c>
      <c r="P44" s="14">
        <v>15.5</v>
      </c>
      <c r="Q44" s="14">
        <v>2.1800000000000002</v>
      </c>
      <c r="R44" s="28"/>
      <c r="S44" s="28"/>
    </row>
    <row r="45" spans="1:19" hidden="1">
      <c r="A45" s="13">
        <v>42917</v>
      </c>
      <c r="B45" s="14">
        <v>4026</v>
      </c>
      <c r="C45" s="14">
        <v>592382.9</v>
      </c>
      <c r="D45" s="14">
        <v>137.22</v>
      </c>
      <c r="E45" s="14">
        <v>4026</v>
      </c>
      <c r="F45" s="14">
        <v>15.86</v>
      </c>
      <c r="G45" s="14">
        <v>3053988</v>
      </c>
      <c r="H45" s="14">
        <v>147.13999999999999</v>
      </c>
      <c r="I45" s="28"/>
      <c r="J45" s="14" t="s">
        <v>57</v>
      </c>
      <c r="K45" s="14">
        <v>1928</v>
      </c>
      <c r="L45" s="14">
        <v>1995</v>
      </c>
      <c r="M45" s="14">
        <v>318491.23</v>
      </c>
      <c r="N45" s="14">
        <v>153.34</v>
      </c>
      <c r="O45" s="14">
        <v>4.08</v>
      </c>
      <c r="P45" s="14">
        <v>15.8</v>
      </c>
      <c r="Q45" s="14">
        <v>2.06</v>
      </c>
      <c r="R45" s="28"/>
      <c r="S45" s="28"/>
    </row>
    <row r="46" spans="1:19" hidden="1">
      <c r="A46" s="13">
        <v>42948</v>
      </c>
      <c r="B46" s="14">
        <v>4331</v>
      </c>
      <c r="C46" s="14">
        <v>674396.3</v>
      </c>
      <c r="D46" s="14">
        <v>148.22</v>
      </c>
      <c r="E46" s="14">
        <v>4331</v>
      </c>
      <c r="F46" s="14">
        <v>13.84</v>
      </c>
      <c r="G46" s="14">
        <v>3728384</v>
      </c>
      <c r="H46" s="14">
        <v>155.71</v>
      </c>
      <c r="I46" s="28"/>
      <c r="J46" s="14" t="s">
        <v>58</v>
      </c>
      <c r="K46" s="14">
        <v>1551</v>
      </c>
      <c r="L46" s="14">
        <v>1593</v>
      </c>
      <c r="M46" s="14">
        <v>310360.03999999998</v>
      </c>
      <c r="N46" s="14">
        <v>184.96</v>
      </c>
      <c r="O46" s="14">
        <v>4.09</v>
      </c>
      <c r="P46" s="14">
        <v>18.399999999999999</v>
      </c>
      <c r="Q46" s="14">
        <v>2</v>
      </c>
      <c r="R46" s="28"/>
      <c r="S46" s="28"/>
    </row>
    <row r="47" spans="1:19" hidden="1">
      <c r="A47" s="13">
        <v>42979</v>
      </c>
      <c r="B47" s="14">
        <v>4285</v>
      </c>
      <c r="C47" s="14">
        <v>727762.5</v>
      </c>
      <c r="D47" s="14">
        <v>161.15</v>
      </c>
      <c r="E47" s="14">
        <v>4285</v>
      </c>
      <c r="F47" s="14">
        <v>7.91</v>
      </c>
      <c r="G47" s="14">
        <v>4456147</v>
      </c>
      <c r="H47" s="14">
        <v>169.84</v>
      </c>
      <c r="I47" s="28"/>
      <c r="J47" s="14" t="s">
        <v>59</v>
      </c>
      <c r="K47" s="14">
        <v>1258</v>
      </c>
      <c r="L47" s="14">
        <v>1279</v>
      </c>
      <c r="M47" s="14">
        <v>267294.78000000003</v>
      </c>
      <c r="N47" s="14">
        <v>198.88</v>
      </c>
      <c r="O47" s="14">
        <v>3.95</v>
      </c>
      <c r="P47" s="14">
        <v>21.1</v>
      </c>
      <c r="Q47" s="14">
        <v>1.73</v>
      </c>
      <c r="R47" s="28"/>
      <c r="S47" s="28"/>
    </row>
    <row r="48" spans="1:19" hidden="1">
      <c r="A48" s="13">
        <v>43009</v>
      </c>
      <c r="B48" s="14">
        <v>4631</v>
      </c>
      <c r="C48" s="14">
        <v>779677.9</v>
      </c>
      <c r="D48" s="14">
        <v>160.43</v>
      </c>
      <c r="E48" s="14">
        <v>4631</v>
      </c>
      <c r="F48" s="14">
        <v>7.13</v>
      </c>
      <c r="G48" s="14">
        <v>5235825</v>
      </c>
      <c r="H48" s="14">
        <v>168.36</v>
      </c>
      <c r="I48" s="28"/>
      <c r="J48" s="14" t="s">
        <v>60</v>
      </c>
      <c r="K48" s="14">
        <v>922</v>
      </c>
      <c r="L48" s="14">
        <v>946</v>
      </c>
      <c r="M48" s="14">
        <v>212662.8</v>
      </c>
      <c r="N48" s="14">
        <v>215.46</v>
      </c>
      <c r="O48" s="14">
        <v>3.91</v>
      </c>
      <c r="P48" s="14">
        <v>23.7</v>
      </c>
      <c r="Q48" s="14">
        <v>1.37</v>
      </c>
      <c r="R48" s="28"/>
      <c r="S48" s="28"/>
    </row>
    <row r="49" spans="1:19" hidden="1">
      <c r="A49" s="13">
        <v>43040</v>
      </c>
      <c r="B49" s="14">
        <v>7544</v>
      </c>
      <c r="C49" s="14">
        <v>1194883</v>
      </c>
      <c r="D49" s="14">
        <v>151.96</v>
      </c>
      <c r="E49" s="14">
        <v>7544</v>
      </c>
      <c r="F49" s="14">
        <v>53.25</v>
      </c>
      <c r="G49" s="14">
        <v>6430708</v>
      </c>
      <c r="H49" s="14">
        <v>158.38999999999999</v>
      </c>
      <c r="I49" s="28"/>
      <c r="J49" s="14" t="s">
        <v>61</v>
      </c>
      <c r="K49" s="14">
        <v>856</v>
      </c>
      <c r="L49" s="14">
        <v>886</v>
      </c>
      <c r="M49" s="14">
        <v>181796.33</v>
      </c>
      <c r="N49" s="14">
        <v>199.34</v>
      </c>
      <c r="O49" s="14">
        <v>4.1500000000000004</v>
      </c>
      <c r="P49" s="14">
        <v>18</v>
      </c>
      <c r="Q49" s="14">
        <v>1.17</v>
      </c>
      <c r="R49" s="28"/>
      <c r="S49" s="28"/>
    </row>
    <row r="50" spans="1:19" hidden="1">
      <c r="A50" s="13">
        <v>43070</v>
      </c>
      <c r="B50" s="14">
        <v>5673</v>
      </c>
      <c r="C50" s="14">
        <v>878401.5</v>
      </c>
      <c r="D50" s="14">
        <v>149.01</v>
      </c>
      <c r="E50" s="14">
        <v>5673</v>
      </c>
      <c r="F50" s="14">
        <v>-26.49</v>
      </c>
      <c r="G50" s="14">
        <v>7309109</v>
      </c>
      <c r="H50" s="14">
        <v>154.84</v>
      </c>
      <c r="I50" s="28"/>
      <c r="J50" s="14" t="s">
        <v>62</v>
      </c>
      <c r="K50" s="14">
        <v>700</v>
      </c>
      <c r="L50" s="14">
        <v>717</v>
      </c>
      <c r="M50" s="14">
        <v>148145.43</v>
      </c>
      <c r="N50" s="14">
        <v>200.47</v>
      </c>
      <c r="O50" s="14">
        <v>3.81</v>
      </c>
      <c r="P50" s="14">
        <v>21.5</v>
      </c>
      <c r="Q50" s="14">
        <v>0.96</v>
      </c>
      <c r="R50" s="28"/>
      <c r="S50" s="28"/>
    </row>
    <row r="51" spans="1:19" hidden="1">
      <c r="A51" s="13">
        <v>43101</v>
      </c>
      <c r="B51" s="14">
        <v>7269</v>
      </c>
      <c r="C51" s="14">
        <v>1115004</v>
      </c>
      <c r="D51" s="14">
        <v>147.43</v>
      </c>
      <c r="E51" s="14">
        <v>7269</v>
      </c>
      <c r="F51" s="14">
        <v>26.94</v>
      </c>
      <c r="G51" s="14">
        <v>8424113</v>
      </c>
      <c r="H51" s="14">
        <v>153.38999999999999</v>
      </c>
      <c r="I51" s="28"/>
      <c r="J51" s="14" t="s">
        <v>63</v>
      </c>
      <c r="K51" s="14">
        <v>504</v>
      </c>
      <c r="L51" s="14">
        <v>517</v>
      </c>
      <c r="M51" s="14">
        <v>137949.38</v>
      </c>
      <c r="N51" s="14">
        <v>249.91</v>
      </c>
      <c r="O51" s="14">
        <v>4.07</v>
      </c>
      <c r="P51" s="14">
        <v>20.399999999999999</v>
      </c>
      <c r="Q51" s="14">
        <v>0.89</v>
      </c>
      <c r="R51" s="28"/>
      <c r="S51" s="28"/>
    </row>
    <row r="52" spans="1:19" hidden="1">
      <c r="A52" s="13">
        <v>43132</v>
      </c>
      <c r="B52" s="14">
        <v>6728</v>
      </c>
      <c r="C52" s="14">
        <v>992463.3</v>
      </c>
      <c r="D52" s="14">
        <v>142.76</v>
      </c>
      <c r="E52" s="14">
        <v>6728</v>
      </c>
      <c r="F52" s="14">
        <v>-10.99</v>
      </c>
      <c r="G52" s="14">
        <v>9416577</v>
      </c>
      <c r="H52" s="14">
        <v>147.51</v>
      </c>
      <c r="I52" s="28"/>
      <c r="J52" s="14" t="s">
        <v>64</v>
      </c>
      <c r="K52" s="14">
        <v>681</v>
      </c>
      <c r="L52" s="14">
        <v>701</v>
      </c>
      <c r="M52" s="14">
        <v>136059.95000000001</v>
      </c>
      <c r="N52" s="14">
        <v>185.37</v>
      </c>
      <c r="O52" s="14">
        <v>4.1900000000000004</v>
      </c>
      <c r="P52" s="14">
        <v>15.5</v>
      </c>
      <c r="Q52" s="14">
        <v>0.88</v>
      </c>
      <c r="R52" s="28"/>
      <c r="S52" s="28"/>
    </row>
    <row r="53" spans="1:19" hidden="1">
      <c r="A53" s="13">
        <v>43160</v>
      </c>
      <c r="B53" s="14">
        <v>7211</v>
      </c>
      <c r="C53" s="14">
        <v>1159652</v>
      </c>
      <c r="D53" s="14">
        <v>154.37</v>
      </c>
      <c r="E53" s="14">
        <v>7211</v>
      </c>
      <c r="F53" s="14">
        <v>16.850000000000001</v>
      </c>
      <c r="G53" s="14">
        <v>10576229</v>
      </c>
      <c r="H53" s="14">
        <v>160.82</v>
      </c>
      <c r="I53" s="28"/>
      <c r="J53" s="14" t="s">
        <v>65</v>
      </c>
      <c r="K53" s="14">
        <v>464</v>
      </c>
      <c r="L53" s="14">
        <v>476</v>
      </c>
      <c r="M53" s="14">
        <v>105353.39</v>
      </c>
      <c r="N53" s="14">
        <v>208.62</v>
      </c>
      <c r="O53" s="14">
        <v>3.95</v>
      </c>
      <c r="P53" s="14">
        <v>19.399999999999999</v>
      </c>
      <c r="Q53" s="14">
        <v>0.68</v>
      </c>
      <c r="R53" s="28"/>
      <c r="S53" s="28"/>
    </row>
    <row r="54" spans="1:19" hidden="1">
      <c r="A54" s="13">
        <v>43191</v>
      </c>
      <c r="B54" s="14">
        <v>6939</v>
      </c>
      <c r="C54" s="14">
        <v>1160785</v>
      </c>
      <c r="D54" s="14">
        <v>161.02000000000001</v>
      </c>
      <c r="E54" s="14">
        <v>6939</v>
      </c>
      <c r="F54" s="14">
        <v>0.1</v>
      </c>
      <c r="G54" s="14">
        <v>11737014</v>
      </c>
      <c r="H54" s="14">
        <v>167.28</v>
      </c>
      <c r="I54" s="28"/>
      <c r="J54" s="14" t="s">
        <v>66</v>
      </c>
      <c r="K54" s="14">
        <v>464</v>
      </c>
      <c r="L54" s="14">
        <v>474</v>
      </c>
      <c r="M54" s="14">
        <v>100846.78</v>
      </c>
      <c r="N54" s="14">
        <v>196.58</v>
      </c>
      <c r="O54" s="14">
        <v>4.1100000000000003</v>
      </c>
      <c r="P54" s="14">
        <v>19.600000000000001</v>
      </c>
      <c r="Q54" s="14">
        <v>0.65</v>
      </c>
      <c r="R54" s="28"/>
      <c r="S54" s="28"/>
    </row>
    <row r="55" spans="1:19" hidden="1">
      <c r="A55" s="13">
        <v>43221</v>
      </c>
      <c r="B55" s="14">
        <v>6873</v>
      </c>
      <c r="C55" s="14">
        <v>1153982</v>
      </c>
      <c r="D55" s="14">
        <v>161.74</v>
      </c>
      <c r="E55" s="14">
        <v>6873</v>
      </c>
      <c r="F55" s="14">
        <v>-0.59</v>
      </c>
      <c r="G55" s="14">
        <v>12890996</v>
      </c>
      <c r="H55" s="14">
        <v>167.9</v>
      </c>
      <c r="I55" s="28"/>
      <c r="J55" s="14" t="s">
        <v>67</v>
      </c>
      <c r="K55" s="14">
        <v>387</v>
      </c>
      <c r="L55" s="14">
        <v>397</v>
      </c>
      <c r="M55" s="14">
        <v>94498.48</v>
      </c>
      <c r="N55" s="14">
        <v>227.71</v>
      </c>
      <c r="O55" s="14">
        <v>3.84</v>
      </c>
      <c r="P55" s="14">
        <v>24.7</v>
      </c>
      <c r="Q55" s="14">
        <v>0.61</v>
      </c>
      <c r="R55" s="28"/>
      <c r="S55" s="28"/>
    </row>
    <row r="56" spans="1:19" hidden="1">
      <c r="A56" s="13">
        <v>43252</v>
      </c>
      <c r="B56" s="14">
        <v>6167</v>
      </c>
      <c r="C56" s="14">
        <v>1023881</v>
      </c>
      <c r="D56" s="14">
        <v>159.51</v>
      </c>
      <c r="E56" s="14">
        <v>6167</v>
      </c>
      <c r="F56" s="14">
        <v>-11.27</v>
      </c>
      <c r="G56" s="14">
        <v>13914877</v>
      </c>
      <c r="H56" s="14">
        <v>166.03</v>
      </c>
      <c r="I56" s="28"/>
      <c r="J56" s="14" t="s">
        <v>68</v>
      </c>
      <c r="K56" s="14">
        <v>329</v>
      </c>
      <c r="L56" s="14">
        <v>335</v>
      </c>
      <c r="M56" s="14">
        <v>70289.13</v>
      </c>
      <c r="N56" s="14">
        <v>204.33</v>
      </c>
      <c r="O56" s="14">
        <v>3.9</v>
      </c>
      <c r="P56" s="14">
        <v>21.4</v>
      </c>
      <c r="Q56" s="14">
        <v>0.45</v>
      </c>
      <c r="R56" s="28"/>
      <c r="S56" s="28"/>
    </row>
    <row r="57" spans="1:19" hidden="1">
      <c r="A57" s="13">
        <v>43282</v>
      </c>
      <c r="B57" s="14">
        <v>6292</v>
      </c>
      <c r="C57" s="14">
        <v>1066541</v>
      </c>
      <c r="D57" s="14">
        <v>163.91</v>
      </c>
      <c r="E57" s="14">
        <v>6292</v>
      </c>
      <c r="F57" s="14">
        <v>4.17</v>
      </c>
      <c r="G57" s="14">
        <v>14981418</v>
      </c>
      <c r="H57" s="14">
        <v>169.51</v>
      </c>
      <c r="I57" s="28"/>
      <c r="J57" s="14" t="s">
        <v>69</v>
      </c>
      <c r="K57" s="14">
        <v>267</v>
      </c>
      <c r="L57" s="14">
        <v>274</v>
      </c>
      <c r="M57" s="14">
        <v>60007.37</v>
      </c>
      <c r="N57" s="14">
        <v>203.41</v>
      </c>
      <c r="O57" s="14">
        <v>4.1900000000000004</v>
      </c>
      <c r="P57" s="14">
        <v>17.3</v>
      </c>
      <c r="Q57" s="14">
        <v>0.39</v>
      </c>
      <c r="R57" s="28"/>
      <c r="S57" s="28"/>
    </row>
    <row r="58" spans="1:19" hidden="1">
      <c r="A58" s="13">
        <v>43313</v>
      </c>
      <c r="B58" s="14">
        <v>6512</v>
      </c>
      <c r="C58" s="14">
        <v>1022425</v>
      </c>
      <c r="D58" s="14">
        <v>152.65</v>
      </c>
      <c r="E58" s="14">
        <v>6512</v>
      </c>
      <c r="F58" s="14">
        <v>-4.1399999999999997</v>
      </c>
      <c r="G58" s="14">
        <v>16003843</v>
      </c>
      <c r="H58" s="14">
        <v>157.01</v>
      </c>
      <c r="I58" s="28"/>
      <c r="J58" s="14" t="s">
        <v>70</v>
      </c>
      <c r="K58" s="14">
        <v>231</v>
      </c>
      <c r="L58" s="14">
        <v>243</v>
      </c>
      <c r="M58" s="14">
        <v>56975.7</v>
      </c>
      <c r="N58" s="14">
        <v>226.99</v>
      </c>
      <c r="O58" s="14">
        <v>4.18</v>
      </c>
      <c r="P58" s="14">
        <v>19.2</v>
      </c>
      <c r="Q58" s="14">
        <v>0.37</v>
      </c>
      <c r="R58" s="28"/>
      <c r="S58" s="28"/>
    </row>
    <row r="59" spans="1:19" hidden="1">
      <c r="A59" s="13">
        <v>43344</v>
      </c>
      <c r="B59" s="14">
        <v>16</v>
      </c>
      <c r="C59" s="14">
        <v>4439.54</v>
      </c>
      <c r="D59" s="14">
        <v>277.47000000000003</v>
      </c>
      <c r="E59" s="14">
        <v>16</v>
      </c>
      <c r="F59" s="14">
        <v>-99.57</v>
      </c>
      <c r="G59" s="14">
        <v>16008282</v>
      </c>
      <c r="H59" s="14">
        <v>277.47000000000003</v>
      </c>
      <c r="I59" s="28"/>
      <c r="J59" s="14" t="s">
        <v>71</v>
      </c>
      <c r="K59" s="14">
        <v>140</v>
      </c>
      <c r="L59" s="14">
        <v>145</v>
      </c>
      <c r="M59" s="14">
        <v>27679.32</v>
      </c>
      <c r="N59" s="14">
        <v>182.1</v>
      </c>
      <c r="O59" s="14">
        <v>4.2300000000000004</v>
      </c>
      <c r="P59" s="14">
        <v>26.5</v>
      </c>
      <c r="Q59" s="14">
        <v>0.18</v>
      </c>
      <c r="R59" s="28"/>
      <c r="S59" s="28"/>
    </row>
    <row r="60" spans="1:19" hidden="1">
      <c r="A60" s="13">
        <v>43374</v>
      </c>
      <c r="B60" s="14">
        <v>4</v>
      </c>
      <c r="C60" s="14">
        <v>589.66999999999996</v>
      </c>
      <c r="D60" s="14">
        <v>147.41999999999999</v>
      </c>
      <c r="E60" s="14">
        <v>4</v>
      </c>
      <c r="F60" s="14">
        <v>-86.72</v>
      </c>
      <c r="G60" s="14">
        <v>16008872</v>
      </c>
      <c r="H60" s="14">
        <v>147.41999999999999</v>
      </c>
      <c r="I60" s="28"/>
      <c r="J60" s="14" t="s">
        <v>72</v>
      </c>
      <c r="K60" s="14">
        <v>76</v>
      </c>
      <c r="L60" s="14">
        <v>80</v>
      </c>
      <c r="M60" s="14">
        <v>19586.25</v>
      </c>
      <c r="N60" s="14">
        <v>235.98</v>
      </c>
      <c r="O60" s="14">
        <v>4.08</v>
      </c>
      <c r="P60" s="14">
        <v>20.8</v>
      </c>
      <c r="Q60" s="14">
        <v>0.13</v>
      </c>
      <c r="R60" s="28"/>
      <c r="S60" s="28"/>
    </row>
    <row r="61" spans="1:19" hidden="1">
      <c r="A61" s="28"/>
      <c r="B61" s="28"/>
      <c r="C61" s="28"/>
      <c r="D61" s="28"/>
      <c r="E61" s="28"/>
      <c r="F61" s="28"/>
      <c r="G61" s="28"/>
      <c r="H61" s="28"/>
      <c r="I61" s="28"/>
      <c r="J61" s="14" t="s">
        <v>73</v>
      </c>
      <c r="K61" s="14">
        <v>66</v>
      </c>
      <c r="L61" s="14">
        <v>67</v>
      </c>
      <c r="M61" s="14">
        <v>16141.81</v>
      </c>
      <c r="N61" s="14">
        <v>233.94</v>
      </c>
      <c r="O61" s="14">
        <v>4.26</v>
      </c>
      <c r="P61" s="14">
        <v>27.1</v>
      </c>
      <c r="Q61" s="14">
        <v>0.1</v>
      </c>
      <c r="R61" s="28"/>
      <c r="S61" s="28"/>
    </row>
    <row r="62" spans="1:19" hidden="1">
      <c r="A62" s="28"/>
      <c r="B62" s="28"/>
      <c r="C62" s="28"/>
      <c r="D62" s="28"/>
      <c r="E62" s="28"/>
      <c r="F62" s="28"/>
      <c r="G62" s="28"/>
      <c r="H62" s="28"/>
      <c r="I62" s="28"/>
      <c r="J62" s="14" t="s">
        <v>74</v>
      </c>
      <c r="K62" s="14">
        <v>40</v>
      </c>
      <c r="L62" s="14">
        <v>41</v>
      </c>
      <c r="M62" s="14">
        <v>9039.52</v>
      </c>
      <c r="N62" s="14">
        <v>220.48</v>
      </c>
      <c r="O62" s="14">
        <v>3.9</v>
      </c>
      <c r="P62" s="14">
        <v>29.3</v>
      </c>
      <c r="Q62" s="14">
        <v>0.06</v>
      </c>
      <c r="R62" s="28"/>
      <c r="S62" s="28"/>
    </row>
    <row r="63" spans="1:19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</row>
  </sheetData>
  <mergeCells count="3">
    <mergeCell ref="A9:B9"/>
    <mergeCell ref="A2:H3"/>
    <mergeCell ref="A7:B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A843-75B3-43BC-911B-B6EBD9CF5D4C}">
  <sheetPr>
    <tabColor rgb="FF00B050"/>
  </sheetPr>
  <dimension ref="A2:H81"/>
  <sheetViews>
    <sheetView showGridLines="0" topLeftCell="A45" workbookViewId="0">
      <selection activeCell="L40" sqref="L40"/>
    </sheetView>
  </sheetViews>
  <sheetFormatPr defaultRowHeight="15"/>
  <cols>
    <col min="1" max="1" width="14.42578125" style="1" customWidth="1"/>
    <col min="2" max="2" width="15.85546875" style="1" customWidth="1"/>
    <col min="3" max="3" width="12.28515625" style="1" customWidth="1"/>
    <col min="4" max="4" width="12.7109375" style="1" customWidth="1"/>
    <col min="5" max="5" width="14.5703125" style="1" customWidth="1"/>
    <col min="6" max="6" width="11.42578125" style="1" customWidth="1"/>
    <col min="7" max="7" width="16.28515625" style="1" customWidth="1"/>
    <col min="8" max="8" width="21.140625" style="1" customWidth="1"/>
    <col min="9" max="16384" width="9.140625" style="1"/>
  </cols>
  <sheetData>
    <row r="2" spans="1:8">
      <c r="A2" s="109" t="s">
        <v>75</v>
      </c>
      <c r="B2" s="110"/>
      <c r="C2" s="110"/>
      <c r="D2" s="110"/>
      <c r="E2" s="110"/>
      <c r="F2" s="110"/>
      <c r="G2" s="110"/>
      <c r="H2" s="110"/>
    </row>
    <row r="3" spans="1:8">
      <c r="A3" s="110"/>
      <c r="B3" s="110"/>
      <c r="C3" s="110"/>
      <c r="D3" s="110"/>
      <c r="E3" s="110"/>
      <c r="F3" s="110"/>
      <c r="G3" s="110"/>
      <c r="H3" s="110"/>
    </row>
    <row r="5" spans="1:8" ht="15.75">
      <c r="A5" s="15" t="s">
        <v>76</v>
      </c>
    </row>
    <row r="7" spans="1:8">
      <c r="A7" s="145" t="s">
        <v>77</v>
      </c>
      <c r="B7" s="146"/>
      <c r="C7" s="147" t="s">
        <v>78</v>
      </c>
      <c r="D7" s="148"/>
      <c r="E7" s="77" t="s">
        <v>79</v>
      </c>
      <c r="F7" s="79"/>
      <c r="G7" s="16"/>
      <c r="H7" s="16"/>
    </row>
    <row r="8" spans="1:8" ht="21">
      <c r="A8" s="57"/>
      <c r="B8" s="59"/>
      <c r="C8" s="57"/>
      <c r="D8" s="59"/>
      <c r="E8" s="57"/>
      <c r="F8" s="7"/>
      <c r="G8" s="16"/>
      <c r="H8" s="16"/>
    </row>
    <row r="9" spans="1:8" ht="21">
      <c r="A9" s="131">
        <f>SUM(D55:D81)/SUM(B55:B81)</f>
        <v>165.87990352802612</v>
      </c>
      <c r="B9" s="134"/>
      <c r="C9" s="46">
        <f>SUMPRODUCT(B55:B81,F55:F81)/SUM(B55:B81)</f>
        <v>4.1567680282670372</v>
      </c>
      <c r="D9" s="10"/>
      <c r="E9" s="63">
        <f>SUMPRODUCT(B55:B81,G55:G81)/SUM(B55:B81)</f>
        <v>12.503942395203172</v>
      </c>
      <c r="F9" s="12"/>
      <c r="G9" s="16"/>
      <c r="H9" s="16"/>
    </row>
    <row r="10" spans="1:8">
      <c r="G10" s="16"/>
      <c r="H10" s="16"/>
    </row>
    <row r="54" spans="1:8">
      <c r="A54" s="111" t="s">
        <v>42</v>
      </c>
      <c r="B54" s="111" t="s">
        <v>43</v>
      </c>
      <c r="C54" s="111" t="s">
        <v>35</v>
      </c>
      <c r="D54" s="111" t="s">
        <v>44</v>
      </c>
      <c r="E54" s="111" t="s">
        <v>37</v>
      </c>
      <c r="F54" s="111" t="s">
        <v>45</v>
      </c>
      <c r="G54" s="111" t="s">
        <v>46</v>
      </c>
      <c r="H54" s="111" t="s">
        <v>47</v>
      </c>
    </row>
    <row r="55" spans="1:8">
      <c r="A55" s="111" t="s">
        <v>48</v>
      </c>
      <c r="B55" s="112">
        <v>39155</v>
      </c>
      <c r="C55" s="112">
        <v>40500</v>
      </c>
      <c r="D55" s="112">
        <v>5799847</v>
      </c>
      <c r="E55" s="111">
        <v>136.33000000000001</v>
      </c>
      <c r="F55" s="111">
        <v>4.25</v>
      </c>
      <c r="G55" s="111">
        <v>8.6999999999999993</v>
      </c>
      <c r="H55" s="111">
        <v>37.44</v>
      </c>
    </row>
    <row r="56" spans="1:8">
      <c r="A56" s="111" t="s">
        <v>49</v>
      </c>
      <c r="B56" s="112">
        <v>11917</v>
      </c>
      <c r="C56" s="112">
        <v>12350</v>
      </c>
      <c r="D56" s="112">
        <v>2063882.53</v>
      </c>
      <c r="E56" s="111">
        <v>157.75</v>
      </c>
      <c r="F56" s="111">
        <v>3.97</v>
      </c>
      <c r="G56" s="111">
        <v>15.3</v>
      </c>
      <c r="H56" s="111">
        <v>13.32</v>
      </c>
    </row>
    <row r="57" spans="1:8">
      <c r="A57" s="111" t="s">
        <v>50</v>
      </c>
      <c r="B57" s="112">
        <v>11001</v>
      </c>
      <c r="C57" s="112">
        <v>11354</v>
      </c>
      <c r="D57" s="112">
        <v>1826872.47</v>
      </c>
      <c r="E57" s="111">
        <v>153.87</v>
      </c>
      <c r="F57" s="111">
        <v>4.1900000000000004</v>
      </c>
      <c r="G57" s="111">
        <v>11.9</v>
      </c>
      <c r="H57" s="111">
        <v>11.79</v>
      </c>
    </row>
    <row r="58" spans="1:8">
      <c r="A58" s="111" t="s">
        <v>51</v>
      </c>
      <c r="B58" s="112">
        <v>5168</v>
      </c>
      <c r="C58" s="112">
        <v>5345</v>
      </c>
      <c r="D58" s="112">
        <v>866206.87</v>
      </c>
      <c r="E58" s="111">
        <v>155.21</v>
      </c>
      <c r="F58" s="111">
        <v>4.18</v>
      </c>
      <c r="G58" s="111">
        <v>15.2</v>
      </c>
      <c r="H58" s="111">
        <v>5.59</v>
      </c>
    </row>
    <row r="59" spans="1:8">
      <c r="A59" s="111" t="s">
        <v>52</v>
      </c>
      <c r="B59" s="112">
        <v>4769</v>
      </c>
      <c r="C59" s="112">
        <v>4923</v>
      </c>
      <c r="D59" s="112">
        <v>785305.81</v>
      </c>
      <c r="E59" s="111">
        <v>152.49</v>
      </c>
      <c r="F59" s="111">
        <v>4.24</v>
      </c>
      <c r="G59" s="111">
        <v>12</v>
      </c>
      <c r="H59" s="111">
        <v>5.07</v>
      </c>
    </row>
    <row r="60" spans="1:8">
      <c r="A60" s="111" t="s">
        <v>53</v>
      </c>
      <c r="B60" s="112">
        <v>3449</v>
      </c>
      <c r="C60" s="112">
        <v>3546</v>
      </c>
      <c r="D60" s="112">
        <v>597148.44999999995</v>
      </c>
      <c r="E60" s="111">
        <v>162.4</v>
      </c>
      <c r="F60" s="111">
        <v>4.13</v>
      </c>
      <c r="G60" s="111">
        <v>14.9</v>
      </c>
      <c r="H60" s="111">
        <v>3.85</v>
      </c>
    </row>
    <row r="61" spans="1:8">
      <c r="A61" s="111" t="s">
        <v>54</v>
      </c>
      <c r="B61" s="112">
        <v>3158</v>
      </c>
      <c r="C61" s="112">
        <v>3256</v>
      </c>
      <c r="D61" s="112">
        <v>593541.16</v>
      </c>
      <c r="E61" s="111">
        <v>169.58</v>
      </c>
      <c r="F61" s="111">
        <v>3.93</v>
      </c>
      <c r="G61" s="111">
        <v>19.2</v>
      </c>
      <c r="H61" s="111">
        <v>3.83</v>
      </c>
    </row>
    <row r="62" spans="1:8">
      <c r="A62" s="111" t="s">
        <v>55</v>
      </c>
      <c r="B62" s="112">
        <v>2019</v>
      </c>
      <c r="C62" s="112">
        <v>2080</v>
      </c>
      <c r="D62" s="112">
        <v>348624.23</v>
      </c>
      <c r="E62" s="111">
        <v>161.33000000000001</v>
      </c>
      <c r="F62" s="111">
        <v>4.13</v>
      </c>
      <c r="G62" s="111">
        <v>12.9</v>
      </c>
      <c r="H62" s="111">
        <v>2.25</v>
      </c>
    </row>
    <row r="63" spans="1:8">
      <c r="A63" s="111" t="s">
        <v>56</v>
      </c>
      <c r="B63" s="112">
        <v>1895</v>
      </c>
      <c r="C63" s="112">
        <v>1957</v>
      </c>
      <c r="D63" s="112">
        <v>337747.38</v>
      </c>
      <c r="E63" s="111">
        <v>163.47999999999999</v>
      </c>
      <c r="F63" s="111">
        <v>4.09</v>
      </c>
      <c r="G63" s="111">
        <v>15.5</v>
      </c>
      <c r="H63" s="111">
        <v>2.1800000000000002</v>
      </c>
    </row>
    <row r="64" spans="1:8">
      <c r="A64" s="111" t="s">
        <v>57</v>
      </c>
      <c r="B64" s="112">
        <v>1928</v>
      </c>
      <c r="C64" s="112">
        <v>1995</v>
      </c>
      <c r="D64" s="112">
        <v>318491.23</v>
      </c>
      <c r="E64" s="111">
        <v>153.34</v>
      </c>
      <c r="F64" s="111">
        <v>4.08</v>
      </c>
      <c r="G64" s="111">
        <v>15.8</v>
      </c>
      <c r="H64" s="111">
        <v>2.06</v>
      </c>
    </row>
    <row r="65" spans="1:8">
      <c r="A65" s="111" t="s">
        <v>58</v>
      </c>
      <c r="B65" s="112">
        <v>1551</v>
      </c>
      <c r="C65" s="112">
        <v>1593</v>
      </c>
      <c r="D65" s="112">
        <v>310360.03999999998</v>
      </c>
      <c r="E65" s="111">
        <v>184.96</v>
      </c>
      <c r="F65" s="111">
        <v>4.09</v>
      </c>
      <c r="G65" s="111">
        <v>18.399999999999999</v>
      </c>
      <c r="H65" s="111">
        <v>2</v>
      </c>
    </row>
    <row r="66" spans="1:8">
      <c r="A66" s="111" t="s">
        <v>59</v>
      </c>
      <c r="B66" s="112">
        <v>1258</v>
      </c>
      <c r="C66" s="112">
        <v>1279</v>
      </c>
      <c r="D66" s="112">
        <v>267294.78000000003</v>
      </c>
      <c r="E66" s="111">
        <v>198.88</v>
      </c>
      <c r="F66" s="111">
        <v>3.95</v>
      </c>
      <c r="G66" s="111">
        <v>21.1</v>
      </c>
      <c r="H66" s="111">
        <v>1.73</v>
      </c>
    </row>
    <row r="67" spans="1:8">
      <c r="A67" s="111" t="s">
        <v>60</v>
      </c>
      <c r="B67" s="112">
        <v>922</v>
      </c>
      <c r="C67" s="112">
        <v>946</v>
      </c>
      <c r="D67" s="112">
        <v>212662.8</v>
      </c>
      <c r="E67" s="111">
        <v>215.46</v>
      </c>
      <c r="F67" s="111">
        <v>3.91</v>
      </c>
      <c r="G67" s="111">
        <v>23.7</v>
      </c>
      <c r="H67" s="111">
        <v>1.37</v>
      </c>
    </row>
    <row r="68" spans="1:8">
      <c r="A68" s="111" t="s">
        <v>61</v>
      </c>
      <c r="B68" s="112">
        <v>856</v>
      </c>
      <c r="C68" s="112">
        <v>886</v>
      </c>
      <c r="D68" s="112">
        <v>181796.33</v>
      </c>
      <c r="E68" s="111">
        <v>199.34</v>
      </c>
      <c r="F68" s="111">
        <v>4.1500000000000004</v>
      </c>
      <c r="G68" s="111">
        <v>18</v>
      </c>
      <c r="H68" s="111">
        <v>1.17</v>
      </c>
    </row>
    <row r="69" spans="1:8">
      <c r="A69" s="111" t="s">
        <v>62</v>
      </c>
      <c r="B69" s="112">
        <v>700</v>
      </c>
      <c r="C69" s="112">
        <v>717</v>
      </c>
      <c r="D69" s="112">
        <v>148145.43</v>
      </c>
      <c r="E69" s="111">
        <v>200.47</v>
      </c>
      <c r="F69" s="111">
        <v>3.81</v>
      </c>
      <c r="G69" s="111">
        <v>21.5</v>
      </c>
      <c r="H69" s="111">
        <v>0.96</v>
      </c>
    </row>
    <row r="70" spans="1:8">
      <c r="A70" s="111" t="s">
        <v>63</v>
      </c>
      <c r="B70" s="112">
        <v>504</v>
      </c>
      <c r="C70" s="112">
        <v>517</v>
      </c>
      <c r="D70" s="112">
        <v>137949.38</v>
      </c>
      <c r="E70" s="111">
        <v>249.91</v>
      </c>
      <c r="F70" s="111">
        <v>4.07</v>
      </c>
      <c r="G70" s="111">
        <v>20.399999999999999</v>
      </c>
      <c r="H70" s="111">
        <v>0.89</v>
      </c>
    </row>
    <row r="71" spans="1:8">
      <c r="A71" s="111" t="s">
        <v>64</v>
      </c>
      <c r="B71" s="112">
        <v>681</v>
      </c>
      <c r="C71" s="112">
        <v>701</v>
      </c>
      <c r="D71" s="112">
        <v>136059.95000000001</v>
      </c>
      <c r="E71" s="111">
        <v>185.37</v>
      </c>
      <c r="F71" s="111">
        <v>4.1900000000000004</v>
      </c>
      <c r="G71" s="111">
        <v>15.5</v>
      </c>
      <c r="H71" s="111">
        <v>0.88</v>
      </c>
    </row>
    <row r="72" spans="1:8">
      <c r="A72" s="111" t="s">
        <v>65</v>
      </c>
      <c r="B72" s="112">
        <v>464</v>
      </c>
      <c r="C72" s="112">
        <v>476</v>
      </c>
      <c r="D72" s="112">
        <v>105353.39</v>
      </c>
      <c r="E72" s="111">
        <v>208.62</v>
      </c>
      <c r="F72" s="111">
        <v>3.95</v>
      </c>
      <c r="G72" s="111">
        <v>19.399999999999999</v>
      </c>
      <c r="H72" s="111">
        <v>0.68</v>
      </c>
    </row>
    <row r="73" spans="1:8">
      <c r="A73" s="111" t="s">
        <v>66</v>
      </c>
      <c r="B73" s="112">
        <v>464</v>
      </c>
      <c r="C73" s="112">
        <v>474</v>
      </c>
      <c r="D73" s="112">
        <v>100846.78</v>
      </c>
      <c r="E73" s="111">
        <v>196.58</v>
      </c>
      <c r="F73" s="111">
        <v>4.1100000000000003</v>
      </c>
      <c r="G73" s="111">
        <v>19.600000000000001</v>
      </c>
      <c r="H73" s="111">
        <v>0.65</v>
      </c>
    </row>
    <row r="74" spans="1:8">
      <c r="A74" s="111" t="s">
        <v>67</v>
      </c>
      <c r="B74" s="112">
        <v>387</v>
      </c>
      <c r="C74" s="112">
        <v>397</v>
      </c>
      <c r="D74" s="112">
        <v>94498.48</v>
      </c>
      <c r="E74" s="111">
        <v>227.71</v>
      </c>
      <c r="F74" s="111">
        <v>3.84</v>
      </c>
      <c r="G74" s="111">
        <v>24.7</v>
      </c>
      <c r="H74" s="111">
        <v>0.61</v>
      </c>
    </row>
    <row r="75" spans="1:8">
      <c r="A75" s="111" t="s">
        <v>68</v>
      </c>
      <c r="B75" s="112">
        <v>329</v>
      </c>
      <c r="C75" s="112">
        <v>335</v>
      </c>
      <c r="D75" s="112">
        <v>70289.13</v>
      </c>
      <c r="E75" s="111">
        <v>204.33</v>
      </c>
      <c r="F75" s="111">
        <v>3.9</v>
      </c>
      <c r="G75" s="111">
        <v>21.4</v>
      </c>
      <c r="H75" s="111">
        <v>0.45</v>
      </c>
    </row>
    <row r="76" spans="1:8">
      <c r="A76" s="111" t="s">
        <v>69</v>
      </c>
      <c r="B76" s="112">
        <v>267</v>
      </c>
      <c r="C76" s="112">
        <v>274</v>
      </c>
      <c r="D76" s="112">
        <v>60007.37</v>
      </c>
      <c r="E76" s="111">
        <v>203.41</v>
      </c>
      <c r="F76" s="111">
        <v>4.1900000000000004</v>
      </c>
      <c r="G76" s="111">
        <v>17.3</v>
      </c>
      <c r="H76" s="111">
        <v>0.39</v>
      </c>
    </row>
    <row r="77" spans="1:8">
      <c r="A77" s="111" t="s">
        <v>70</v>
      </c>
      <c r="B77" s="112">
        <v>231</v>
      </c>
      <c r="C77" s="112">
        <v>243</v>
      </c>
      <c r="D77" s="112">
        <v>56975.7</v>
      </c>
      <c r="E77" s="111">
        <v>226.99</v>
      </c>
      <c r="F77" s="111">
        <v>4.18</v>
      </c>
      <c r="G77" s="111">
        <v>19.2</v>
      </c>
      <c r="H77" s="111">
        <v>0.37</v>
      </c>
    </row>
    <row r="78" spans="1:8">
      <c r="A78" s="111" t="s">
        <v>71</v>
      </c>
      <c r="B78" s="112">
        <v>140</v>
      </c>
      <c r="C78" s="112">
        <v>145</v>
      </c>
      <c r="D78" s="112">
        <v>27679.32</v>
      </c>
      <c r="E78" s="111">
        <v>182.1</v>
      </c>
      <c r="F78" s="111">
        <v>4.2300000000000004</v>
      </c>
      <c r="G78" s="111">
        <v>26.5</v>
      </c>
      <c r="H78" s="111">
        <v>0.18</v>
      </c>
    </row>
    <row r="79" spans="1:8">
      <c r="A79" s="111" t="s">
        <v>72</v>
      </c>
      <c r="B79" s="112">
        <v>76</v>
      </c>
      <c r="C79" s="112">
        <v>80</v>
      </c>
      <c r="D79" s="112">
        <v>19586.25</v>
      </c>
      <c r="E79" s="111">
        <v>235.98</v>
      </c>
      <c r="F79" s="111">
        <v>4.08</v>
      </c>
      <c r="G79" s="111">
        <v>20.8</v>
      </c>
      <c r="H79" s="111">
        <v>0.13</v>
      </c>
    </row>
    <row r="80" spans="1:8">
      <c r="A80" s="111" t="s">
        <v>73</v>
      </c>
      <c r="B80" s="112">
        <v>66</v>
      </c>
      <c r="C80" s="112">
        <v>67</v>
      </c>
      <c r="D80" s="112">
        <v>16141.81</v>
      </c>
      <c r="E80" s="111">
        <v>233.94</v>
      </c>
      <c r="F80" s="111">
        <v>4.26</v>
      </c>
      <c r="G80" s="111">
        <v>27.1</v>
      </c>
      <c r="H80" s="111">
        <v>0.1</v>
      </c>
    </row>
    <row r="81" spans="1:8">
      <c r="A81" s="111" t="s">
        <v>74</v>
      </c>
      <c r="B81" s="112">
        <v>40</v>
      </c>
      <c r="C81" s="112">
        <v>41</v>
      </c>
      <c r="D81" s="112">
        <v>9039.52</v>
      </c>
      <c r="E81" s="111">
        <v>220.48</v>
      </c>
      <c r="F81" s="111">
        <v>3.9</v>
      </c>
      <c r="G81" s="111">
        <v>29.3</v>
      </c>
      <c r="H81" s="111">
        <v>0.06</v>
      </c>
    </row>
  </sheetData>
  <mergeCells count="1">
    <mergeCell ref="A2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88A1-AF6C-4A77-8765-7D76875ED2DF}">
  <sheetPr>
    <tabColor rgb="FFFFC000"/>
  </sheetPr>
  <dimension ref="A2:J129"/>
  <sheetViews>
    <sheetView showGridLines="0" workbookViewId="0">
      <selection activeCell="J32" sqref="J32"/>
    </sheetView>
  </sheetViews>
  <sheetFormatPr defaultRowHeight="15"/>
  <cols>
    <col min="1" max="1" width="20.140625" style="1" customWidth="1"/>
    <col min="2" max="2" width="11" style="1" customWidth="1"/>
    <col min="3" max="3" width="27.7109375" style="1" customWidth="1"/>
    <col min="4" max="4" width="6" style="1" customWidth="1"/>
    <col min="5" max="5" width="24.28515625" style="1" customWidth="1"/>
    <col min="6" max="6" width="11.85546875" style="1" customWidth="1"/>
    <col min="7" max="7" width="16.7109375" style="1" customWidth="1"/>
    <col min="8" max="8" width="9.140625" style="1"/>
    <col min="9" max="9" width="23" style="1" customWidth="1"/>
    <col min="10" max="10" width="10.140625" style="1" bestFit="1" customWidth="1"/>
    <col min="11" max="16384" width="9.140625" style="1"/>
  </cols>
  <sheetData>
    <row r="2" spans="1:8">
      <c r="A2" s="109" t="s">
        <v>80</v>
      </c>
      <c r="B2" s="110"/>
      <c r="C2" s="110"/>
      <c r="D2" s="110"/>
      <c r="E2" s="110"/>
      <c r="F2" s="110"/>
      <c r="G2" s="110"/>
      <c r="H2" s="110"/>
    </row>
    <row r="3" spans="1:8">
      <c r="A3" s="110"/>
      <c r="B3" s="110"/>
      <c r="C3" s="110"/>
      <c r="D3" s="110"/>
      <c r="E3" s="110"/>
      <c r="F3" s="110"/>
      <c r="G3" s="110"/>
      <c r="H3" s="110"/>
    </row>
    <row r="5" spans="1:8" ht="15.75">
      <c r="A5" s="15" t="s">
        <v>81</v>
      </c>
    </row>
    <row r="7" spans="1:8">
      <c r="A7" s="124" t="s">
        <v>82</v>
      </c>
      <c r="B7" s="143"/>
      <c r="C7" s="73" t="s">
        <v>83</v>
      </c>
      <c r="D7" s="74"/>
      <c r="E7" s="75" t="s">
        <v>84</v>
      </c>
      <c r="F7" s="76"/>
    </row>
    <row r="8" spans="1:8" ht="21">
      <c r="A8" s="17"/>
      <c r="B8" s="8"/>
      <c r="C8" s="17"/>
      <c r="D8" s="8"/>
      <c r="E8" s="17"/>
      <c r="F8" s="9"/>
    </row>
    <row r="9" spans="1:8" ht="21">
      <c r="A9" s="132" t="str">
        <f>INDEX(A59:A129,MATCH(MAX(D59:D129),D59:D129,0))</f>
        <v>Health &amp; Beauty</v>
      </c>
      <c r="B9" s="133"/>
      <c r="C9" s="47" t="s">
        <v>85</v>
      </c>
      <c r="D9" s="10"/>
      <c r="E9" s="48" t="str">
        <f>TEXT(MAX(F59:F129),"0.00")&amp;"%"</f>
        <v>9.45%</v>
      </c>
      <c r="F9" s="12"/>
    </row>
    <row r="58" spans="1:10">
      <c r="A58" s="111" t="s">
        <v>86</v>
      </c>
      <c r="B58" s="111" t="s">
        <v>35</v>
      </c>
      <c r="C58" s="111" t="s">
        <v>87</v>
      </c>
      <c r="D58" s="111" t="s">
        <v>36</v>
      </c>
      <c r="E58" s="111" t="s">
        <v>88</v>
      </c>
      <c r="F58" s="111" t="s">
        <v>47</v>
      </c>
      <c r="G58" s="111" t="s">
        <v>89</v>
      </c>
      <c r="H58" s="113"/>
      <c r="I58" s="113" t="s">
        <v>90</v>
      </c>
      <c r="J58" s="113" t="s">
        <v>91</v>
      </c>
    </row>
    <row r="59" spans="1:10">
      <c r="A59" s="111" t="s">
        <v>92</v>
      </c>
      <c r="B59" s="112">
        <v>8647</v>
      </c>
      <c r="C59" s="112">
        <v>9465</v>
      </c>
      <c r="D59" s="112">
        <v>1233131.72</v>
      </c>
      <c r="E59" s="111">
        <v>130.28</v>
      </c>
      <c r="F59" s="111">
        <v>9.4499999999999993</v>
      </c>
      <c r="G59" s="111">
        <v>142.61000000000001</v>
      </c>
      <c r="H59" s="113"/>
      <c r="I59" s="113" t="str" cm="1">
        <f t="array" ref="I59:J68">_xlfn.TAKE(_xlfn.SORTBY(A59:B129,B59:B129,-1),10)</f>
        <v>Bed, Bath &amp; Table</v>
      </c>
      <c r="J59" s="114">
        <v>9272</v>
      </c>
    </row>
    <row r="60" spans="1:10">
      <c r="A60" s="111" t="s">
        <v>93</v>
      </c>
      <c r="B60" s="112">
        <v>5495</v>
      </c>
      <c r="C60" s="112">
        <v>5859</v>
      </c>
      <c r="D60" s="112">
        <v>1166176.98</v>
      </c>
      <c r="E60" s="111">
        <v>199.04</v>
      </c>
      <c r="F60" s="111">
        <v>8.94</v>
      </c>
      <c r="G60" s="111">
        <v>212.23</v>
      </c>
      <c r="H60" s="113"/>
      <c r="I60" s="113" t="str">
        <v>Health &amp; Beauty</v>
      </c>
      <c r="J60" s="114">
        <v>8647</v>
      </c>
    </row>
    <row r="61" spans="1:10">
      <c r="A61" s="111" t="s">
        <v>94</v>
      </c>
      <c r="B61" s="112">
        <v>9272</v>
      </c>
      <c r="C61" s="112">
        <v>10953</v>
      </c>
      <c r="D61" s="112">
        <v>1023434.76</v>
      </c>
      <c r="E61" s="111">
        <v>93.44</v>
      </c>
      <c r="F61" s="111">
        <v>7.85</v>
      </c>
      <c r="G61" s="111">
        <v>110.38</v>
      </c>
      <c r="H61" s="113"/>
      <c r="I61" s="113" t="str">
        <v>Sports &amp; Leisure</v>
      </c>
      <c r="J61" s="114">
        <v>7530</v>
      </c>
    </row>
    <row r="62" spans="1:10">
      <c r="A62" s="111" t="s">
        <v>95</v>
      </c>
      <c r="B62" s="112">
        <v>7530</v>
      </c>
      <c r="C62" s="112">
        <v>8431</v>
      </c>
      <c r="D62" s="112">
        <v>954852.55</v>
      </c>
      <c r="E62" s="111">
        <v>113.25</v>
      </c>
      <c r="F62" s="111">
        <v>7.32</v>
      </c>
      <c r="G62" s="111">
        <v>126.81</v>
      </c>
      <c r="H62" s="113"/>
      <c r="I62" s="113" t="str">
        <v>Computers &amp; Accessories</v>
      </c>
      <c r="J62" s="114">
        <v>6530</v>
      </c>
    </row>
    <row r="63" spans="1:10">
      <c r="A63" s="111" t="s">
        <v>96</v>
      </c>
      <c r="B63" s="112">
        <v>6530</v>
      </c>
      <c r="C63" s="112">
        <v>7644</v>
      </c>
      <c r="D63" s="112">
        <v>888724.61</v>
      </c>
      <c r="E63" s="111">
        <v>116.26</v>
      </c>
      <c r="F63" s="111">
        <v>6.81</v>
      </c>
      <c r="G63" s="111">
        <v>136.1</v>
      </c>
      <c r="H63" s="113"/>
      <c r="I63" s="113" t="str">
        <v>Furniture &amp; Decor</v>
      </c>
      <c r="J63" s="114">
        <v>6307</v>
      </c>
    </row>
    <row r="64" spans="1:10">
      <c r="A64" s="111" t="s">
        <v>97</v>
      </c>
      <c r="B64" s="112">
        <v>6307</v>
      </c>
      <c r="C64" s="112">
        <v>8160</v>
      </c>
      <c r="D64" s="112">
        <v>711927.69</v>
      </c>
      <c r="E64" s="111">
        <v>87.25</v>
      </c>
      <c r="F64" s="111">
        <v>5.46</v>
      </c>
      <c r="G64" s="111">
        <v>112.88</v>
      </c>
      <c r="H64" s="113"/>
      <c r="I64" s="113" t="str">
        <v>Housewares</v>
      </c>
      <c r="J64" s="114">
        <v>5743</v>
      </c>
    </row>
    <row r="65" spans="1:10">
      <c r="A65" s="111" t="s">
        <v>98</v>
      </c>
      <c r="B65" s="112">
        <v>5743</v>
      </c>
      <c r="C65" s="112">
        <v>6795</v>
      </c>
      <c r="D65" s="112">
        <v>615628.68999999994</v>
      </c>
      <c r="E65" s="111">
        <v>90.6</v>
      </c>
      <c r="F65" s="111">
        <v>4.72</v>
      </c>
      <c r="G65" s="111">
        <v>107.2</v>
      </c>
      <c r="H65" s="113"/>
      <c r="I65" s="113" t="str">
        <v>Watches &amp; Gifts</v>
      </c>
      <c r="J65" s="114">
        <v>5495</v>
      </c>
    </row>
    <row r="66" spans="1:10">
      <c r="A66" s="111" t="s">
        <v>99</v>
      </c>
      <c r="B66" s="112">
        <v>3559</v>
      </c>
      <c r="C66" s="112">
        <v>3718</v>
      </c>
      <c r="D66" s="112">
        <v>610204.1</v>
      </c>
      <c r="E66" s="111">
        <v>164.12</v>
      </c>
      <c r="F66" s="111">
        <v>4.68</v>
      </c>
      <c r="G66" s="111">
        <v>171.45</v>
      </c>
      <c r="H66" s="113"/>
      <c r="I66" s="113" t="str">
        <v>Telephony</v>
      </c>
      <c r="J66" s="114">
        <v>4093</v>
      </c>
    </row>
    <row r="67" spans="1:10">
      <c r="A67" s="111" t="s">
        <v>100</v>
      </c>
      <c r="B67" s="112">
        <v>3810</v>
      </c>
      <c r="C67" s="112">
        <v>4140</v>
      </c>
      <c r="D67" s="112">
        <v>578966.65</v>
      </c>
      <c r="E67" s="111">
        <v>139.85</v>
      </c>
      <c r="F67" s="111">
        <v>4.4400000000000004</v>
      </c>
      <c r="G67" s="111">
        <v>151.96</v>
      </c>
      <c r="H67" s="113"/>
      <c r="I67" s="113" t="str">
        <v>Auto</v>
      </c>
      <c r="J67" s="114">
        <v>3810</v>
      </c>
    </row>
    <row r="68" spans="1:10">
      <c r="A68" s="111" t="s">
        <v>101</v>
      </c>
      <c r="B68" s="112">
        <v>3804</v>
      </c>
      <c r="C68" s="112">
        <v>4030</v>
      </c>
      <c r="D68" s="112">
        <v>471286.48</v>
      </c>
      <c r="E68" s="111">
        <v>116.94</v>
      </c>
      <c r="F68" s="111">
        <v>3.61</v>
      </c>
      <c r="G68" s="111">
        <v>123.89</v>
      </c>
      <c r="H68" s="113"/>
      <c r="I68" s="113" t="str">
        <v>Toys</v>
      </c>
      <c r="J68" s="114">
        <v>3804</v>
      </c>
    </row>
    <row r="69" spans="1:10">
      <c r="A69" s="111" t="s">
        <v>102</v>
      </c>
      <c r="B69" s="112">
        <v>3448</v>
      </c>
      <c r="C69" s="112">
        <v>4268</v>
      </c>
      <c r="D69" s="112">
        <v>470495.28</v>
      </c>
      <c r="E69" s="111">
        <v>110.24</v>
      </c>
      <c r="F69" s="111">
        <v>3.61</v>
      </c>
      <c r="G69" s="111">
        <v>136.44999999999999</v>
      </c>
      <c r="H69" s="113"/>
      <c r="I69" s="113"/>
      <c r="J69" s="113"/>
    </row>
    <row r="70" spans="1:10">
      <c r="A70" s="111" t="s">
        <v>103</v>
      </c>
      <c r="B70" s="112">
        <v>2809</v>
      </c>
      <c r="C70" s="112">
        <v>2982</v>
      </c>
      <c r="D70" s="112">
        <v>400421.84</v>
      </c>
      <c r="E70" s="111">
        <v>134.28</v>
      </c>
      <c r="F70" s="111">
        <v>3.07</v>
      </c>
      <c r="G70" s="111">
        <v>142.55000000000001</v>
      </c>
      <c r="H70" s="113"/>
      <c r="I70" s="113"/>
      <c r="J70" s="113"/>
    </row>
    <row r="71" spans="1:10">
      <c r="A71" s="111" t="s">
        <v>104</v>
      </c>
      <c r="B71" s="112">
        <v>3086</v>
      </c>
      <c r="C71" s="112">
        <v>3340</v>
      </c>
      <c r="D71" s="112">
        <v>390144.65</v>
      </c>
      <c r="E71" s="111">
        <v>116.81</v>
      </c>
      <c r="F71" s="111">
        <v>2.99</v>
      </c>
      <c r="G71" s="111">
        <v>126.42</v>
      </c>
      <c r="H71" s="113"/>
      <c r="I71" s="113"/>
      <c r="J71" s="113"/>
    </row>
    <row r="72" spans="1:10">
      <c r="A72" s="111" t="s">
        <v>105</v>
      </c>
      <c r="B72" s="112">
        <v>4093</v>
      </c>
      <c r="C72" s="112">
        <v>4430</v>
      </c>
      <c r="D72" s="112">
        <v>309860.23</v>
      </c>
      <c r="E72" s="111">
        <v>69.95</v>
      </c>
      <c r="F72" s="111">
        <v>2.38</v>
      </c>
      <c r="G72" s="111">
        <v>75.7</v>
      </c>
      <c r="H72" s="113"/>
      <c r="I72" s="113"/>
      <c r="J72" s="113"/>
    </row>
    <row r="73" spans="1:10">
      <c r="A73" s="111" t="s">
        <v>106</v>
      </c>
      <c r="B73" s="112">
        <v>1254</v>
      </c>
      <c r="C73" s="112">
        <v>1668</v>
      </c>
      <c r="D73" s="112">
        <v>268154.31</v>
      </c>
      <c r="E73" s="111">
        <v>160.76</v>
      </c>
      <c r="F73" s="111">
        <v>2.06</v>
      </c>
      <c r="G73" s="111">
        <v>213.84</v>
      </c>
      <c r="H73" s="113"/>
      <c r="I73" s="113"/>
      <c r="J73" s="113"/>
    </row>
    <row r="74" spans="1:10">
      <c r="A74" s="111" t="s">
        <v>107</v>
      </c>
      <c r="B74" s="112">
        <v>2264</v>
      </c>
      <c r="C74" s="112">
        <v>2466</v>
      </c>
      <c r="D74" s="112">
        <v>223788.69</v>
      </c>
      <c r="E74" s="111">
        <v>90.75</v>
      </c>
      <c r="F74" s="111">
        <v>1.72</v>
      </c>
      <c r="G74" s="111">
        <v>98.85</v>
      </c>
      <c r="H74" s="113"/>
      <c r="I74" s="113"/>
      <c r="J74" s="113"/>
    </row>
    <row r="75" spans="1:10">
      <c r="A75" s="111" t="s">
        <v>108</v>
      </c>
      <c r="B75" s="112">
        <v>177</v>
      </c>
      <c r="C75" s="112">
        <v>199</v>
      </c>
      <c r="D75" s="112">
        <v>218684.14</v>
      </c>
      <c r="E75" s="111">
        <v>1098.92</v>
      </c>
      <c r="F75" s="111">
        <v>1.68</v>
      </c>
      <c r="G75" s="111">
        <v>1235.5</v>
      </c>
      <c r="H75" s="113"/>
      <c r="I75" s="113"/>
      <c r="J75" s="113"/>
    </row>
    <row r="76" spans="1:10">
      <c r="A76" s="111" t="s">
        <v>109</v>
      </c>
      <c r="B76" s="112">
        <v>1688</v>
      </c>
      <c r="C76" s="112">
        <v>1924</v>
      </c>
      <c r="D76" s="112">
        <v>211695.64</v>
      </c>
      <c r="E76" s="111">
        <v>110.03</v>
      </c>
      <c r="F76" s="111">
        <v>1.62</v>
      </c>
      <c r="G76" s="111">
        <v>125.41</v>
      </c>
      <c r="H76" s="113"/>
      <c r="I76" s="113"/>
      <c r="J76" s="113"/>
    </row>
    <row r="77" spans="1:10">
      <c r="A77" s="111" t="s">
        <v>110</v>
      </c>
      <c r="B77" s="112">
        <v>611</v>
      </c>
      <c r="C77" s="112">
        <v>651</v>
      </c>
      <c r="D77" s="112">
        <v>184315.74</v>
      </c>
      <c r="E77" s="111">
        <v>283.13</v>
      </c>
      <c r="F77" s="111">
        <v>1.41</v>
      </c>
      <c r="G77" s="111">
        <v>301.66000000000003</v>
      </c>
      <c r="H77" s="113"/>
      <c r="I77" s="113"/>
      <c r="J77" s="113"/>
    </row>
    <row r="78" spans="1:10">
      <c r="A78" s="111" t="s">
        <v>111</v>
      </c>
      <c r="B78" s="112">
        <v>609</v>
      </c>
      <c r="C78" s="112">
        <v>658</v>
      </c>
      <c r="D78" s="112">
        <v>182754.12</v>
      </c>
      <c r="E78" s="111">
        <v>277.74</v>
      </c>
      <c r="F78" s="111">
        <v>1.4</v>
      </c>
      <c r="G78" s="111">
        <v>300.08999999999997</v>
      </c>
      <c r="H78" s="113"/>
      <c r="I78" s="113"/>
      <c r="J78" s="113"/>
    </row>
    <row r="79" spans="1:10">
      <c r="A79" s="111" t="s">
        <v>112</v>
      </c>
      <c r="B79" s="112">
        <v>2517</v>
      </c>
      <c r="C79" s="112">
        <v>2729</v>
      </c>
      <c r="D79" s="112">
        <v>155043.93</v>
      </c>
      <c r="E79" s="111">
        <v>56.81</v>
      </c>
      <c r="F79" s="111">
        <v>1.19</v>
      </c>
      <c r="G79" s="111">
        <v>61.6</v>
      </c>
      <c r="H79" s="113"/>
      <c r="I79" s="113"/>
      <c r="J79" s="113"/>
    </row>
    <row r="80" spans="1:10">
      <c r="A80" s="111" t="s">
        <v>113</v>
      </c>
      <c r="B80" s="112">
        <v>1820</v>
      </c>
      <c r="C80" s="112">
        <v>1985</v>
      </c>
      <c r="D80" s="112">
        <v>149329.39000000001</v>
      </c>
      <c r="E80" s="111">
        <v>75.23</v>
      </c>
      <c r="F80" s="111">
        <v>1.1399999999999999</v>
      </c>
      <c r="G80" s="111">
        <v>82.05</v>
      </c>
      <c r="H80" s="113"/>
      <c r="I80" s="113"/>
      <c r="J80" s="113"/>
    </row>
    <row r="81" spans="1:10">
      <c r="A81" s="111" t="s">
        <v>114</v>
      </c>
      <c r="B81" s="112">
        <v>1018</v>
      </c>
      <c r="C81" s="112">
        <v>1089</v>
      </c>
      <c r="D81" s="112">
        <v>148003.37</v>
      </c>
      <c r="E81" s="111">
        <v>135.91</v>
      </c>
      <c r="F81" s="111">
        <v>1.1299999999999999</v>
      </c>
      <c r="G81" s="111">
        <v>145.38999999999999</v>
      </c>
      <c r="H81" s="113"/>
      <c r="I81" s="113"/>
      <c r="J81" s="113"/>
    </row>
    <row r="82" spans="1:10">
      <c r="A82" s="111" t="s">
        <v>115</v>
      </c>
      <c r="B82" s="112">
        <v>736</v>
      </c>
      <c r="C82" s="112">
        <v>916</v>
      </c>
      <c r="D82" s="112">
        <v>142108.49</v>
      </c>
      <c r="E82" s="111">
        <v>155.13999999999999</v>
      </c>
      <c r="F82" s="111">
        <v>1.0900000000000001</v>
      </c>
      <c r="G82" s="111">
        <v>193.08</v>
      </c>
      <c r="H82" s="113"/>
      <c r="I82" s="113"/>
      <c r="J82" s="113"/>
    </row>
    <row r="83" spans="1:10">
      <c r="A83" s="111" t="s">
        <v>116</v>
      </c>
      <c r="B83" s="112">
        <v>1019</v>
      </c>
      <c r="C83" s="112">
        <v>1077</v>
      </c>
      <c r="D83" s="112">
        <v>138701.63</v>
      </c>
      <c r="E83" s="111">
        <v>128.79</v>
      </c>
      <c r="F83" s="111">
        <v>1.06</v>
      </c>
      <c r="G83" s="111">
        <v>136.12</v>
      </c>
      <c r="H83" s="113"/>
      <c r="I83" s="113"/>
      <c r="J83" s="113"/>
    </row>
    <row r="84" spans="1:10">
      <c r="A84" s="111" t="s">
        <v>117</v>
      </c>
      <c r="B84" s="112">
        <v>227</v>
      </c>
      <c r="C84" s="112">
        <v>231</v>
      </c>
      <c r="D84" s="112">
        <v>107953.95</v>
      </c>
      <c r="E84" s="111">
        <v>467.33</v>
      </c>
      <c r="F84" s="111">
        <v>0.83</v>
      </c>
      <c r="G84" s="111">
        <v>475.57</v>
      </c>
      <c r="H84" s="113"/>
      <c r="I84" s="113"/>
      <c r="J84" s="113"/>
    </row>
    <row r="85" spans="1:10">
      <c r="A85" s="111" t="s">
        <v>118</v>
      </c>
      <c r="B85" s="112">
        <v>483</v>
      </c>
      <c r="C85" s="112">
        <v>596</v>
      </c>
      <c r="D85" s="112">
        <v>81407.570000000007</v>
      </c>
      <c r="E85" s="111">
        <v>136.59</v>
      </c>
      <c r="F85" s="111">
        <v>0.62</v>
      </c>
      <c r="G85" s="111">
        <v>168.55</v>
      </c>
      <c r="H85" s="113"/>
      <c r="I85" s="113"/>
      <c r="J85" s="113"/>
    </row>
    <row r="86" spans="1:10">
      <c r="A86" s="111" t="s">
        <v>119</v>
      </c>
      <c r="B86" s="112">
        <v>747</v>
      </c>
      <c r="C86" s="112">
        <v>754</v>
      </c>
      <c r="D86" s="112">
        <v>78832.479999999996</v>
      </c>
      <c r="E86" s="111">
        <v>104.55</v>
      </c>
      <c r="F86" s="111">
        <v>0.6</v>
      </c>
      <c r="G86" s="111">
        <v>105.53</v>
      </c>
      <c r="H86" s="113"/>
      <c r="I86" s="113"/>
      <c r="J86" s="113"/>
    </row>
    <row r="87" spans="1:10">
      <c r="A87" s="111" t="s">
        <v>120</v>
      </c>
      <c r="B87" s="112">
        <v>177</v>
      </c>
      <c r="C87" s="112">
        <v>206</v>
      </c>
      <c r="D87" s="112">
        <v>70566.100000000006</v>
      </c>
      <c r="E87" s="111">
        <v>342.55</v>
      </c>
      <c r="F87" s="111">
        <v>0.54</v>
      </c>
      <c r="G87" s="111">
        <v>398.68</v>
      </c>
      <c r="H87" s="113"/>
      <c r="I87" s="113"/>
      <c r="J87" s="113"/>
    </row>
    <row r="88" spans="1:10">
      <c r="A88" s="111" t="s">
        <v>121</v>
      </c>
      <c r="B88" s="112">
        <v>414</v>
      </c>
      <c r="C88" s="112">
        <v>495</v>
      </c>
      <c r="D88" s="112">
        <v>67350.7</v>
      </c>
      <c r="E88" s="111">
        <v>136.06</v>
      </c>
      <c r="F88" s="111">
        <v>0.52</v>
      </c>
      <c r="G88" s="111">
        <v>162.68</v>
      </c>
      <c r="H88" s="113"/>
      <c r="I88" s="113"/>
      <c r="J88" s="113"/>
    </row>
    <row r="89" spans="1:10">
      <c r="A89" s="111" t="s">
        <v>122</v>
      </c>
      <c r="B89" s="112">
        <v>392</v>
      </c>
      <c r="C89" s="112">
        <v>429</v>
      </c>
      <c r="D89" s="112">
        <v>58008.45</v>
      </c>
      <c r="E89" s="111">
        <v>135.22</v>
      </c>
      <c r="F89" s="111">
        <v>0.44</v>
      </c>
      <c r="G89" s="111">
        <v>147.97999999999999</v>
      </c>
      <c r="H89" s="113"/>
      <c r="I89" s="113"/>
      <c r="J89" s="113"/>
    </row>
    <row r="90" spans="1:10">
      <c r="A90" s="111" t="s">
        <v>123</v>
      </c>
      <c r="B90" s="112">
        <v>212</v>
      </c>
      <c r="C90" s="112">
        <v>255</v>
      </c>
      <c r="D90" s="112">
        <v>55315.21</v>
      </c>
      <c r="E90" s="111">
        <v>216.92</v>
      </c>
      <c r="F90" s="111">
        <v>0.42</v>
      </c>
      <c r="G90" s="111">
        <v>260.92</v>
      </c>
      <c r="H90" s="113"/>
      <c r="I90" s="113"/>
      <c r="J90" s="113"/>
    </row>
    <row r="91" spans="1:10">
      <c r="A91" s="111" t="s">
        <v>124</v>
      </c>
      <c r="B91" s="112">
        <v>246</v>
      </c>
      <c r="C91" s="112">
        <v>289</v>
      </c>
      <c r="D91" s="112">
        <v>53323.56</v>
      </c>
      <c r="E91" s="111">
        <v>184.51</v>
      </c>
      <c r="F91" s="111">
        <v>0.41</v>
      </c>
      <c r="G91" s="111">
        <v>216.76</v>
      </c>
      <c r="H91" s="113"/>
      <c r="I91" s="113"/>
      <c r="J91" s="113"/>
    </row>
    <row r="92" spans="1:10">
      <c r="A92" s="111" t="s">
        <v>125</v>
      </c>
      <c r="B92" s="112">
        <v>348</v>
      </c>
      <c r="C92" s="112">
        <v>362</v>
      </c>
      <c r="D92" s="112">
        <v>50570.6</v>
      </c>
      <c r="E92" s="111">
        <v>139.69999999999999</v>
      </c>
      <c r="F92" s="111">
        <v>0.39</v>
      </c>
      <c r="G92" s="111">
        <v>145.32</v>
      </c>
      <c r="H92" s="113"/>
      <c r="I92" s="113"/>
      <c r="J92" s="113"/>
    </row>
    <row r="93" spans="1:10">
      <c r="A93" s="111" t="s">
        <v>126</v>
      </c>
      <c r="B93" s="112">
        <v>72</v>
      </c>
      <c r="C93" s="112">
        <v>73</v>
      </c>
      <c r="D93" s="112">
        <v>46589.56</v>
      </c>
      <c r="E93" s="111">
        <v>638.21</v>
      </c>
      <c r="F93" s="111">
        <v>0.36</v>
      </c>
      <c r="G93" s="111">
        <v>647.08000000000004</v>
      </c>
      <c r="H93" s="113"/>
      <c r="I93" s="113"/>
      <c r="J93" s="113"/>
    </row>
    <row r="94" spans="1:10">
      <c r="A94" s="111" t="s">
        <v>127</v>
      </c>
      <c r="B94" s="112">
        <v>241</v>
      </c>
      <c r="C94" s="112">
        <v>274</v>
      </c>
      <c r="D94" s="112">
        <v>45531.98</v>
      </c>
      <c r="E94" s="111">
        <v>166.18</v>
      </c>
      <c r="F94" s="111">
        <v>0.35</v>
      </c>
      <c r="G94" s="111">
        <v>188.93</v>
      </c>
      <c r="H94" s="113"/>
      <c r="I94" s="113"/>
      <c r="J94" s="113"/>
    </row>
    <row r="95" spans="1:10">
      <c r="A95" s="111" t="s">
        <v>128</v>
      </c>
      <c r="B95" s="112">
        <v>496</v>
      </c>
      <c r="C95" s="112">
        <v>537</v>
      </c>
      <c r="D95" s="112">
        <v>45302.15</v>
      </c>
      <c r="E95" s="111">
        <v>84.36</v>
      </c>
      <c r="F95" s="111">
        <v>0.35</v>
      </c>
      <c r="G95" s="111">
        <v>91.33</v>
      </c>
      <c r="H95" s="113"/>
      <c r="I95" s="113"/>
      <c r="J95" s="113"/>
    </row>
    <row r="96" spans="1:10">
      <c r="A96" s="111" t="s">
        <v>129</v>
      </c>
      <c r="B96" s="112">
        <v>242</v>
      </c>
      <c r="C96" s="112">
        <v>301</v>
      </c>
      <c r="D96" s="112">
        <v>39957</v>
      </c>
      <c r="E96" s="111">
        <v>132.75</v>
      </c>
      <c r="F96" s="111">
        <v>0.31</v>
      </c>
      <c r="G96" s="111">
        <v>165.11</v>
      </c>
      <c r="H96" s="113"/>
      <c r="I96" s="113"/>
      <c r="J96" s="113"/>
    </row>
    <row r="97" spans="1:10">
      <c r="A97" s="111" t="s">
        <v>130</v>
      </c>
      <c r="B97" s="112">
        <v>159</v>
      </c>
      <c r="C97" s="112">
        <v>183</v>
      </c>
      <c r="D97" s="112">
        <v>38773.22</v>
      </c>
      <c r="E97" s="111">
        <v>211.88</v>
      </c>
      <c r="F97" s="111">
        <v>0.3</v>
      </c>
      <c r="G97" s="111">
        <v>243.86</v>
      </c>
      <c r="H97" s="113"/>
      <c r="I97" s="113"/>
      <c r="J97" s="113"/>
    </row>
    <row r="98" spans="1:10">
      <c r="A98" s="111" t="s">
        <v>131</v>
      </c>
      <c r="B98" s="112">
        <v>232</v>
      </c>
      <c r="C98" s="112">
        <v>265</v>
      </c>
      <c r="D98" s="112">
        <v>38498.81</v>
      </c>
      <c r="E98" s="111">
        <v>145.28</v>
      </c>
      <c r="F98" s="111">
        <v>0.3</v>
      </c>
      <c r="G98" s="111">
        <v>165.94</v>
      </c>
      <c r="H98" s="113"/>
      <c r="I98" s="113"/>
      <c r="J98" s="113"/>
    </row>
    <row r="99" spans="1:10">
      <c r="A99" s="111" t="s">
        <v>132</v>
      </c>
      <c r="B99" s="112">
        <v>441</v>
      </c>
      <c r="C99" s="112">
        <v>499</v>
      </c>
      <c r="D99" s="112">
        <v>28731.15</v>
      </c>
      <c r="E99" s="111">
        <v>57.58</v>
      </c>
      <c r="F99" s="111">
        <v>0.22</v>
      </c>
      <c r="G99" s="111">
        <v>65.150000000000006</v>
      </c>
      <c r="H99" s="113"/>
      <c r="I99" s="113"/>
      <c r="J99" s="113"/>
    </row>
    <row r="100" spans="1:10">
      <c r="A100" s="111" t="s">
        <v>133</v>
      </c>
      <c r="B100" s="112">
        <v>274</v>
      </c>
      <c r="C100" s="112">
        <v>305</v>
      </c>
      <c r="D100" s="112">
        <v>27795.77</v>
      </c>
      <c r="E100" s="111">
        <v>91.13</v>
      </c>
      <c r="F100" s="111">
        <v>0.21</v>
      </c>
      <c r="G100" s="111">
        <v>101.44</v>
      </c>
      <c r="H100" s="113"/>
      <c r="I100" s="113"/>
      <c r="J100" s="113"/>
    </row>
    <row r="101" spans="1:10">
      <c r="A101" s="111" t="s">
        <v>134</v>
      </c>
      <c r="B101" s="112">
        <v>190</v>
      </c>
      <c r="C101" s="112">
        <v>232</v>
      </c>
      <c r="D101" s="112">
        <v>25096.28</v>
      </c>
      <c r="E101" s="111">
        <v>108.17</v>
      </c>
      <c r="F101" s="111">
        <v>0.19</v>
      </c>
      <c r="G101" s="111">
        <v>132.09</v>
      </c>
      <c r="H101" s="113"/>
      <c r="I101" s="113"/>
      <c r="J101" s="113"/>
    </row>
    <row r="102" spans="1:10">
      <c r="A102" s="111" t="s">
        <v>135</v>
      </c>
      <c r="B102" s="112">
        <v>195</v>
      </c>
      <c r="C102" s="112">
        <v>197</v>
      </c>
      <c r="D102" s="112">
        <v>23657.3</v>
      </c>
      <c r="E102" s="111">
        <v>120.09</v>
      </c>
      <c r="F102" s="111">
        <v>0.18</v>
      </c>
      <c r="G102" s="111">
        <v>121.32</v>
      </c>
      <c r="H102" s="113"/>
      <c r="I102" s="113"/>
      <c r="J102" s="113"/>
    </row>
    <row r="103" spans="1:10">
      <c r="A103" s="111" t="s">
        <v>136</v>
      </c>
      <c r="B103" s="112">
        <v>235</v>
      </c>
      <c r="C103" s="112">
        <v>257</v>
      </c>
      <c r="D103" s="112">
        <v>23001.46</v>
      </c>
      <c r="E103" s="111">
        <v>89.5</v>
      </c>
      <c r="F103" s="111">
        <v>0.18</v>
      </c>
      <c r="G103" s="111">
        <v>97.88</v>
      </c>
      <c r="H103" s="113"/>
      <c r="I103" s="113"/>
      <c r="J103" s="113"/>
    </row>
    <row r="104" spans="1:10">
      <c r="A104" s="111" t="s">
        <v>137</v>
      </c>
      <c r="B104" s="112">
        <v>287</v>
      </c>
      <c r="C104" s="112">
        <v>361</v>
      </c>
      <c r="D104" s="112">
        <v>21529.84</v>
      </c>
      <c r="E104" s="111">
        <v>59.64</v>
      </c>
      <c r="F104" s="111">
        <v>0.17</v>
      </c>
      <c r="G104" s="111">
        <v>75.02</v>
      </c>
      <c r="H104" s="113"/>
      <c r="I104" s="113"/>
      <c r="J104" s="113"/>
    </row>
    <row r="105" spans="1:10">
      <c r="A105" s="111" t="s">
        <v>138</v>
      </c>
      <c r="B105" s="112">
        <v>138</v>
      </c>
      <c r="C105" s="112">
        <v>197</v>
      </c>
      <c r="D105" s="112">
        <v>21315.05</v>
      </c>
      <c r="E105" s="111">
        <v>108.2</v>
      </c>
      <c r="F105" s="111">
        <v>0.16</v>
      </c>
      <c r="G105" s="111">
        <v>154.46</v>
      </c>
      <c r="H105" s="113"/>
      <c r="I105" s="113"/>
      <c r="J105" s="113"/>
    </row>
    <row r="106" spans="1:10">
      <c r="A106" s="111" t="s">
        <v>139</v>
      </c>
      <c r="B106" s="112">
        <v>90</v>
      </c>
      <c r="C106" s="112">
        <v>103</v>
      </c>
      <c r="D106" s="112">
        <v>19051.8</v>
      </c>
      <c r="E106" s="111">
        <v>184.97</v>
      </c>
      <c r="F106" s="111">
        <v>0.15</v>
      </c>
      <c r="G106" s="111">
        <v>211.69</v>
      </c>
      <c r="H106" s="113"/>
      <c r="I106" s="113"/>
      <c r="J106" s="113"/>
    </row>
    <row r="107" spans="1:10">
      <c r="A107" s="111" t="s">
        <v>140</v>
      </c>
      <c r="B107" s="112">
        <v>256</v>
      </c>
      <c r="C107" s="112">
        <v>263</v>
      </c>
      <c r="D107" s="112">
        <v>18702.23</v>
      </c>
      <c r="E107" s="111">
        <v>71.11</v>
      </c>
      <c r="F107" s="111">
        <v>0.14000000000000001</v>
      </c>
      <c r="G107" s="111">
        <v>73.06</v>
      </c>
      <c r="H107" s="113"/>
      <c r="I107" s="113"/>
      <c r="J107" s="113"/>
    </row>
    <row r="108" spans="1:10">
      <c r="A108" s="111" t="s">
        <v>141</v>
      </c>
      <c r="B108" s="112">
        <v>97</v>
      </c>
      <c r="C108" s="112">
        <v>103</v>
      </c>
      <c r="D108" s="112">
        <v>15903.95</v>
      </c>
      <c r="E108" s="111">
        <v>154.41</v>
      </c>
      <c r="F108" s="111">
        <v>0.12</v>
      </c>
      <c r="G108" s="111">
        <v>163.96</v>
      </c>
      <c r="H108" s="113"/>
      <c r="I108" s="113"/>
      <c r="J108" s="113"/>
    </row>
    <row r="109" spans="1:10">
      <c r="A109" s="111" t="s">
        <v>142</v>
      </c>
      <c r="B109" s="112">
        <v>221</v>
      </c>
      <c r="C109" s="112">
        <v>269</v>
      </c>
      <c r="D109" s="112">
        <v>14942.88</v>
      </c>
      <c r="E109" s="111">
        <v>55.55</v>
      </c>
      <c r="F109" s="111">
        <v>0.11</v>
      </c>
      <c r="G109" s="111">
        <v>67.61</v>
      </c>
      <c r="H109" s="113"/>
      <c r="I109" s="113"/>
      <c r="J109" s="113"/>
    </row>
    <row r="110" spans="1:10">
      <c r="A110" s="111" t="s">
        <v>143</v>
      </c>
      <c r="B110" s="112">
        <v>106</v>
      </c>
      <c r="C110" s="112">
        <v>125</v>
      </c>
      <c r="D110" s="112">
        <v>10452.33</v>
      </c>
      <c r="E110" s="111">
        <v>83.62</v>
      </c>
      <c r="F110" s="111">
        <v>0.08</v>
      </c>
      <c r="G110" s="111">
        <v>98.61</v>
      </c>
      <c r="H110" s="113"/>
      <c r="I110" s="113"/>
      <c r="J110" s="113"/>
    </row>
    <row r="111" spans="1:10">
      <c r="A111" s="111" t="s">
        <v>144</v>
      </c>
      <c r="B111" s="112">
        <v>117</v>
      </c>
      <c r="C111" s="112">
        <v>127</v>
      </c>
      <c r="D111" s="112">
        <v>9305.9500000000007</v>
      </c>
      <c r="E111" s="111">
        <v>73.28</v>
      </c>
      <c r="F111" s="111">
        <v>7.0000000000000007E-2</v>
      </c>
      <c r="G111" s="111">
        <v>79.540000000000006</v>
      </c>
      <c r="H111" s="113"/>
      <c r="I111" s="113"/>
      <c r="J111" s="113"/>
    </row>
    <row r="112" spans="1:10">
      <c r="A112" s="111" t="s">
        <v>145</v>
      </c>
      <c r="B112" s="112">
        <v>125</v>
      </c>
      <c r="C112" s="112">
        <v>150</v>
      </c>
      <c r="D112" s="112">
        <v>8737.84</v>
      </c>
      <c r="E112" s="111">
        <v>58.25</v>
      </c>
      <c r="F112" s="111">
        <v>7.0000000000000007E-2</v>
      </c>
      <c r="G112" s="111">
        <v>69.900000000000006</v>
      </c>
      <c r="H112" s="113"/>
      <c r="I112" s="113"/>
      <c r="J112" s="113"/>
    </row>
    <row r="113" spans="1:10">
      <c r="A113" s="111" t="s">
        <v>146</v>
      </c>
      <c r="B113" s="112">
        <v>79</v>
      </c>
      <c r="C113" s="112">
        <v>83</v>
      </c>
      <c r="D113" s="112">
        <v>7528.41</v>
      </c>
      <c r="E113" s="111">
        <v>90.7</v>
      </c>
      <c r="F113" s="111">
        <v>0.06</v>
      </c>
      <c r="G113" s="111">
        <v>95.3</v>
      </c>
      <c r="H113" s="113"/>
      <c r="I113" s="113"/>
      <c r="J113" s="113"/>
    </row>
    <row r="114" spans="1:10">
      <c r="A114" s="111" t="s">
        <v>147</v>
      </c>
      <c r="B114" s="112">
        <v>63</v>
      </c>
      <c r="C114" s="112">
        <v>70</v>
      </c>
      <c r="D114" s="112">
        <v>6674.47</v>
      </c>
      <c r="E114" s="111">
        <v>95.35</v>
      </c>
      <c r="F114" s="111">
        <v>0.05</v>
      </c>
      <c r="G114" s="111">
        <v>105.94</v>
      </c>
      <c r="H114" s="113"/>
      <c r="I114" s="113"/>
      <c r="J114" s="113"/>
    </row>
    <row r="115" spans="1:10">
      <c r="A115" s="111" t="s">
        <v>148</v>
      </c>
      <c r="B115" s="112">
        <v>38</v>
      </c>
      <c r="C115" s="112">
        <v>38</v>
      </c>
      <c r="D115" s="112">
        <v>6034.35</v>
      </c>
      <c r="E115" s="111">
        <v>158.80000000000001</v>
      </c>
      <c r="F115" s="111">
        <v>0.05</v>
      </c>
      <c r="G115" s="111">
        <v>158.80000000000001</v>
      </c>
      <c r="H115" s="113"/>
      <c r="I115" s="113"/>
      <c r="J115" s="113"/>
    </row>
    <row r="116" spans="1:10">
      <c r="A116" s="111" t="s">
        <v>149</v>
      </c>
      <c r="B116" s="112">
        <v>56</v>
      </c>
      <c r="C116" s="112">
        <v>61</v>
      </c>
      <c r="D116" s="112">
        <v>4542.59</v>
      </c>
      <c r="E116" s="111">
        <v>74.47</v>
      </c>
      <c r="F116" s="111">
        <v>0.03</v>
      </c>
      <c r="G116" s="111">
        <v>81.12</v>
      </c>
      <c r="H116" s="113"/>
      <c r="I116" s="113"/>
      <c r="J116" s="113"/>
    </row>
    <row r="117" spans="1:10">
      <c r="A117" s="111" t="s">
        <v>150</v>
      </c>
      <c r="B117" s="112">
        <v>38</v>
      </c>
      <c r="C117" s="112">
        <v>42</v>
      </c>
      <c r="D117" s="112">
        <v>4465.1899999999996</v>
      </c>
      <c r="E117" s="111">
        <v>106.31</v>
      </c>
      <c r="F117" s="111">
        <v>0.03</v>
      </c>
      <c r="G117" s="111">
        <v>117.5</v>
      </c>
      <c r="H117" s="113"/>
      <c r="I117" s="113"/>
      <c r="J117" s="113"/>
    </row>
    <row r="118" spans="1:10">
      <c r="A118" s="111" t="s">
        <v>151</v>
      </c>
      <c r="B118" s="112">
        <v>50</v>
      </c>
      <c r="C118" s="112">
        <v>57</v>
      </c>
      <c r="D118" s="112">
        <v>4418.8599999999997</v>
      </c>
      <c r="E118" s="111">
        <v>77.52</v>
      </c>
      <c r="F118" s="111">
        <v>0.03</v>
      </c>
      <c r="G118" s="111">
        <v>88.38</v>
      </c>
      <c r="H118" s="113"/>
      <c r="I118" s="113"/>
      <c r="J118" s="113"/>
    </row>
    <row r="119" spans="1:10">
      <c r="A119" s="111" t="s">
        <v>152</v>
      </c>
      <c r="B119" s="112">
        <v>37</v>
      </c>
      <c r="C119" s="112">
        <v>37</v>
      </c>
      <c r="D119" s="112">
        <v>4323.38</v>
      </c>
      <c r="E119" s="111">
        <v>116.85</v>
      </c>
      <c r="F119" s="111">
        <v>0.03</v>
      </c>
      <c r="G119" s="111">
        <v>116.85</v>
      </c>
      <c r="H119" s="113"/>
      <c r="I119" s="113"/>
      <c r="J119" s="113"/>
    </row>
    <row r="120" spans="1:10">
      <c r="A120" s="111" t="s">
        <v>153</v>
      </c>
      <c r="B120" s="112">
        <v>36</v>
      </c>
      <c r="C120" s="112">
        <v>45</v>
      </c>
      <c r="D120" s="112">
        <v>2634.94</v>
      </c>
      <c r="E120" s="111">
        <v>58.55</v>
      </c>
      <c r="F120" s="111">
        <v>0.02</v>
      </c>
      <c r="G120" s="111">
        <v>73.19</v>
      </c>
      <c r="H120" s="113"/>
      <c r="I120" s="113"/>
      <c r="J120" s="113"/>
    </row>
    <row r="121" spans="1:10">
      <c r="A121" s="111" t="s">
        <v>154</v>
      </c>
      <c r="B121" s="112">
        <v>26</v>
      </c>
      <c r="C121" s="112">
        <v>29</v>
      </c>
      <c r="D121" s="112">
        <v>2094.52</v>
      </c>
      <c r="E121" s="111">
        <v>72.22</v>
      </c>
      <c r="F121" s="111">
        <v>0.02</v>
      </c>
      <c r="G121" s="111">
        <v>80.56</v>
      </c>
      <c r="H121" s="113"/>
      <c r="I121" s="113"/>
      <c r="J121" s="113"/>
    </row>
    <row r="122" spans="1:10">
      <c r="A122" s="111" t="s">
        <v>155</v>
      </c>
      <c r="B122" s="112">
        <v>13</v>
      </c>
      <c r="C122" s="112">
        <v>14</v>
      </c>
      <c r="D122" s="112">
        <v>2054.9899999999998</v>
      </c>
      <c r="E122" s="111">
        <v>146.78</v>
      </c>
      <c r="F122" s="111">
        <v>0.02</v>
      </c>
      <c r="G122" s="111">
        <v>158.08000000000001</v>
      </c>
      <c r="H122" s="113"/>
      <c r="I122" s="113"/>
      <c r="J122" s="113"/>
    </row>
    <row r="123" spans="1:10">
      <c r="A123" s="111" t="s">
        <v>156</v>
      </c>
      <c r="B123" s="112">
        <v>23</v>
      </c>
      <c r="C123" s="112">
        <v>24</v>
      </c>
      <c r="D123" s="112">
        <v>1814.01</v>
      </c>
      <c r="E123" s="111">
        <v>75.58</v>
      </c>
      <c r="F123" s="111">
        <v>0.01</v>
      </c>
      <c r="G123" s="111">
        <v>78.87</v>
      </c>
      <c r="H123" s="113"/>
      <c r="I123" s="113"/>
      <c r="J123" s="113"/>
    </row>
    <row r="124" spans="1:10">
      <c r="A124" s="111" t="s">
        <v>157</v>
      </c>
      <c r="B124" s="112">
        <v>25</v>
      </c>
      <c r="C124" s="112">
        <v>37</v>
      </c>
      <c r="D124" s="112">
        <v>1500.79</v>
      </c>
      <c r="E124" s="111">
        <v>40.56</v>
      </c>
      <c r="F124" s="111">
        <v>0.01</v>
      </c>
      <c r="G124" s="111">
        <v>60.03</v>
      </c>
      <c r="H124" s="113"/>
      <c r="I124" s="113"/>
      <c r="J124" s="113"/>
    </row>
    <row r="125" spans="1:10">
      <c r="A125" s="111" t="s">
        <v>158</v>
      </c>
      <c r="B125" s="112">
        <v>29</v>
      </c>
      <c r="C125" s="112">
        <v>33</v>
      </c>
      <c r="D125" s="112">
        <v>1110.04</v>
      </c>
      <c r="E125" s="111">
        <v>33.64</v>
      </c>
      <c r="F125" s="111">
        <v>0.01</v>
      </c>
      <c r="G125" s="111">
        <v>38.28</v>
      </c>
      <c r="H125" s="113"/>
      <c r="I125" s="113"/>
      <c r="J125" s="113"/>
    </row>
    <row r="126" spans="1:10">
      <c r="A126" s="111" t="s">
        <v>159</v>
      </c>
      <c r="B126" s="112">
        <v>24</v>
      </c>
      <c r="C126" s="112">
        <v>30</v>
      </c>
      <c r="D126" s="112">
        <v>760.27</v>
      </c>
      <c r="E126" s="111">
        <v>25.34</v>
      </c>
      <c r="F126" s="111">
        <v>0.01</v>
      </c>
      <c r="G126" s="111">
        <v>31.68</v>
      </c>
      <c r="H126" s="113"/>
      <c r="I126" s="113"/>
      <c r="J126" s="113"/>
    </row>
    <row r="127" spans="1:10">
      <c r="A127" s="111" t="s">
        <v>160</v>
      </c>
      <c r="B127" s="112">
        <v>12</v>
      </c>
      <c r="C127" s="112">
        <v>14</v>
      </c>
      <c r="D127" s="112">
        <v>730</v>
      </c>
      <c r="E127" s="111">
        <v>52.14</v>
      </c>
      <c r="F127" s="111">
        <v>0.01</v>
      </c>
      <c r="G127" s="111">
        <v>60.83</v>
      </c>
      <c r="H127" s="113"/>
      <c r="I127" s="113"/>
      <c r="J127" s="113"/>
    </row>
    <row r="128" spans="1:10">
      <c r="A128" s="111" t="s">
        <v>161</v>
      </c>
      <c r="B128" s="112">
        <v>7</v>
      </c>
      <c r="C128" s="112">
        <v>7</v>
      </c>
      <c r="D128" s="112">
        <v>519.95000000000005</v>
      </c>
      <c r="E128" s="111">
        <v>74.28</v>
      </c>
      <c r="F128" s="111">
        <v>0</v>
      </c>
      <c r="G128" s="111">
        <v>74.28</v>
      </c>
      <c r="H128" s="113"/>
      <c r="I128" s="113"/>
      <c r="J128" s="113"/>
    </row>
    <row r="129" spans="1:10">
      <c r="A129" s="111" t="s">
        <v>162</v>
      </c>
      <c r="B129" s="112">
        <v>2</v>
      </c>
      <c r="C129" s="112">
        <v>2</v>
      </c>
      <c r="D129" s="112">
        <v>283.29000000000002</v>
      </c>
      <c r="E129" s="111">
        <v>141.63999999999999</v>
      </c>
      <c r="F129" s="111">
        <v>0</v>
      </c>
      <c r="G129" s="111">
        <v>141.65</v>
      </c>
      <c r="H129" s="113"/>
      <c r="I129" s="113"/>
      <c r="J129" s="113"/>
    </row>
  </sheetData>
  <mergeCells count="3">
    <mergeCell ref="A2:H3"/>
    <mergeCell ref="A7:B7"/>
    <mergeCell ref="A9:B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864E-9BAC-4190-9111-F9933A3007F8}">
  <sheetPr>
    <tabColor rgb="FF7030A0"/>
  </sheetPr>
  <dimension ref="A2:Z84"/>
  <sheetViews>
    <sheetView showGridLines="0" topLeftCell="A45" workbookViewId="0">
      <selection activeCell="I9" sqref="I9"/>
    </sheetView>
  </sheetViews>
  <sheetFormatPr defaultRowHeight="15"/>
  <cols>
    <col min="1" max="1" width="14.140625" style="1" customWidth="1"/>
    <col min="2" max="2" width="11" style="1" customWidth="1"/>
    <col min="3" max="3" width="18.42578125" style="1" customWidth="1"/>
    <col min="4" max="4" width="12.5703125" style="1" customWidth="1"/>
    <col min="5" max="5" width="21.42578125" style="1" customWidth="1"/>
    <col min="6" max="6" width="14.85546875" style="1" customWidth="1"/>
    <col min="7" max="7" width="15.140625" style="1" customWidth="1"/>
    <col min="8" max="8" width="21.28515625" style="1" customWidth="1"/>
    <col min="9" max="9" width="24.140625" style="1" customWidth="1"/>
    <col min="10" max="10" width="9.140625" style="1"/>
    <col min="11" max="11" width="11.140625" style="1" customWidth="1"/>
    <col min="12" max="12" width="11.42578125" style="1" customWidth="1"/>
    <col min="13" max="13" width="9.140625" style="1"/>
    <col min="14" max="14" width="11" style="1" customWidth="1"/>
    <col min="15" max="15" width="16.42578125" style="1" customWidth="1"/>
    <col min="16" max="16" width="9.140625" style="1"/>
    <col min="17" max="17" width="11" style="1" customWidth="1"/>
    <col min="18" max="18" width="10" style="1" customWidth="1"/>
    <col min="19" max="16384" width="9.140625" style="1"/>
  </cols>
  <sheetData>
    <row r="2" spans="1:8">
      <c r="A2" s="109" t="s">
        <v>163</v>
      </c>
      <c r="B2" s="110"/>
      <c r="C2" s="110"/>
      <c r="D2" s="110"/>
      <c r="E2" s="110"/>
      <c r="F2" s="110"/>
      <c r="G2" s="110"/>
      <c r="H2" s="110"/>
    </row>
    <row r="3" spans="1:8">
      <c r="A3" s="110"/>
      <c r="B3" s="110"/>
      <c r="C3" s="110"/>
      <c r="D3" s="110"/>
      <c r="E3" s="110"/>
      <c r="F3" s="110"/>
      <c r="G3" s="110"/>
      <c r="H3" s="110"/>
    </row>
    <row r="5" spans="1:8" ht="15.75">
      <c r="A5" s="15" t="s">
        <v>164</v>
      </c>
    </row>
    <row r="7" spans="1:8">
      <c r="A7" s="123" t="s">
        <v>165</v>
      </c>
      <c r="B7" s="144"/>
      <c r="C7" s="73" t="s">
        <v>166</v>
      </c>
      <c r="D7" s="74"/>
      <c r="E7" s="75" t="s">
        <v>167</v>
      </c>
      <c r="F7" s="76"/>
    </row>
    <row r="8" spans="1:8" ht="21">
      <c r="A8" s="17"/>
      <c r="B8" s="8"/>
      <c r="C8" s="17"/>
      <c r="D8" s="8"/>
      <c r="E8" s="17"/>
      <c r="F8" s="9"/>
    </row>
    <row r="9" spans="1:8" ht="21">
      <c r="A9" s="61">
        <f>SUM(B62:B84)</f>
        <v>3095</v>
      </c>
      <c r="B9" s="10"/>
      <c r="C9" s="62">
        <f>SUM(F62:F84)/SUM(C62:C84)</f>
        <v>0.97792968553078652</v>
      </c>
      <c r="D9" s="10"/>
      <c r="E9" s="62">
        <f>SUM(G62:G84)/SUM(C62:C84)</f>
        <v>4.6479739471482007E-3</v>
      </c>
      <c r="F9" s="12"/>
    </row>
    <row r="61" spans="1:26">
      <c r="A61" s="111" t="s">
        <v>168</v>
      </c>
      <c r="B61" s="111" t="s">
        <v>169</v>
      </c>
      <c r="C61" s="111" t="s">
        <v>35</v>
      </c>
      <c r="D61" s="111" t="s">
        <v>44</v>
      </c>
      <c r="E61" s="111" t="s">
        <v>46</v>
      </c>
      <c r="F61" s="111" t="s">
        <v>170</v>
      </c>
      <c r="G61" s="111" t="s">
        <v>171</v>
      </c>
      <c r="H61" s="111" t="s">
        <v>47</v>
      </c>
      <c r="I61" s="111" t="s">
        <v>172</v>
      </c>
      <c r="J61" s="113"/>
      <c r="K61" s="113" t="s">
        <v>173</v>
      </c>
      <c r="L61" s="113" t="s">
        <v>174</v>
      </c>
      <c r="M61" s="113"/>
      <c r="N61" s="113" t="s">
        <v>173</v>
      </c>
      <c r="O61" s="113" t="s">
        <v>175</v>
      </c>
      <c r="P61" s="113"/>
      <c r="Q61" s="113" t="str" cm="1">
        <f t="array" ref="Q61:R71">_xlfn.VSTACK(N61:O61,_xlfn._xlws.SORT(N62:O71,2,-1))</f>
        <v>Seller State</v>
      </c>
      <c r="R61" s="113" t="str">
        <v>Avg Delivery Days</v>
      </c>
      <c r="S61" s="113"/>
      <c r="T61" s="113"/>
      <c r="U61" s="113" t="s">
        <v>173</v>
      </c>
      <c r="V61" s="113" t="s">
        <v>176</v>
      </c>
      <c r="W61" s="113"/>
      <c r="X61" s="113"/>
      <c r="Y61" s="113" t="s">
        <v>173</v>
      </c>
      <c r="Z61" s="113" t="s">
        <v>176</v>
      </c>
    </row>
    <row r="62" spans="1:26">
      <c r="A62" s="111" t="s">
        <v>48</v>
      </c>
      <c r="B62" s="112">
        <v>1849</v>
      </c>
      <c r="C62" s="112">
        <v>70188</v>
      </c>
      <c r="D62" s="112">
        <v>8753396.2100000009</v>
      </c>
      <c r="E62" s="115">
        <v>11.8</v>
      </c>
      <c r="F62" s="116">
        <v>68641</v>
      </c>
      <c r="G62" s="117">
        <v>332</v>
      </c>
      <c r="H62" s="111">
        <v>64.400000000000006</v>
      </c>
      <c r="I62" s="112">
        <v>4734.12</v>
      </c>
      <c r="J62" s="113"/>
      <c r="K62" s="118" t="str" cm="1">
        <f t="array" ref="K62:L71">_xlfn.TAKE(_xlfn.SORTBY(A62:B84,B62:B84,-1),10)</f>
        <v>SP</v>
      </c>
      <c r="L62" s="119">
        <v>1849</v>
      </c>
      <c r="M62" s="113"/>
      <c r="N62" s="113" t="str">
        <f>K62</f>
        <v>SP</v>
      </c>
      <c r="O62" s="113">
        <f>_xlfn.XLOOKUP(N62,$A$62:$A$88,$E$62:$E$88)</f>
        <v>11.8</v>
      </c>
      <c r="P62" s="113"/>
      <c r="Q62" s="113" t="str">
        <v>BA</v>
      </c>
      <c r="R62" s="113">
        <v>13.4</v>
      </c>
      <c r="S62" s="113"/>
      <c r="T62" s="113"/>
      <c r="U62" s="113" t="str">
        <f>K62</f>
        <v>SP</v>
      </c>
      <c r="V62" s="120">
        <f>_xlfn.XLOOKUP(U62,$A$62:$A$200,$G$62:$G$200)/_xlfn.XLOOKUP(U62,$A$62:$A$200,$C$62:$C$200)</f>
        <v>4.7301533025588417E-3</v>
      </c>
      <c r="W62" s="113"/>
      <c r="X62" s="113"/>
      <c r="Y62" s="113" t="s">
        <v>56</v>
      </c>
      <c r="Z62" s="120">
        <f>_xlfn.XLOOKUP(Y62,$A$62:$A$200,$G$62:$G$200)/_xlfn.XLOOKUP(Y62,$A$62:$A$200,$C$62:$C$200)</f>
        <v>6.4794816414686825E-3</v>
      </c>
    </row>
    <row r="63" spans="1:26">
      <c r="A63" s="111" t="s">
        <v>52</v>
      </c>
      <c r="B63" s="112">
        <v>349</v>
      </c>
      <c r="C63" s="112">
        <v>7673</v>
      </c>
      <c r="D63" s="112">
        <v>1261887.21</v>
      </c>
      <c r="E63" s="115">
        <v>12.9</v>
      </c>
      <c r="F63" s="116">
        <v>7512</v>
      </c>
      <c r="G63" s="117">
        <v>26</v>
      </c>
      <c r="H63" s="111">
        <v>9.2799999999999994</v>
      </c>
      <c r="I63" s="112">
        <v>3615.72</v>
      </c>
      <c r="J63" s="113"/>
      <c r="K63" s="118" t="str">
        <v>PR</v>
      </c>
      <c r="L63" s="121">
        <v>349</v>
      </c>
      <c r="M63" s="113"/>
      <c r="N63" s="113" t="str">
        <f>K63</f>
        <v>PR</v>
      </c>
      <c r="O63" s="113">
        <f>_xlfn.XLOOKUP(N63,$A$62:$A$88,$E$62:$E$88)</f>
        <v>12.9</v>
      </c>
      <c r="P63" s="113"/>
      <c r="Q63" s="113" t="str">
        <v>SC</v>
      </c>
      <c r="R63" s="113">
        <v>13.1</v>
      </c>
      <c r="S63" s="113"/>
      <c r="T63" s="113"/>
      <c r="U63" s="113" t="str">
        <f>K63</f>
        <v>PR</v>
      </c>
      <c r="V63" s="120">
        <f>_xlfn.XLOOKUP(U63,$A$62:$A$200,$G$62:$G$200)/_xlfn.XLOOKUP(U63,$A$62:$A$200,$C$62:$C$200)</f>
        <v>3.3885051479212824E-3</v>
      </c>
      <c r="W63" s="113"/>
      <c r="X63" s="113"/>
      <c r="Y63" s="113" t="s">
        <v>50</v>
      </c>
      <c r="Z63" s="120">
        <f>_xlfn.XLOOKUP(Y63,$A$62:$A$200,$G$62:$G$200)/_xlfn.XLOOKUP(Y63,$A$62:$A$200,$C$62:$C$200)</f>
        <v>6.3051702395964691E-3</v>
      </c>
    </row>
    <row r="64" spans="1:26">
      <c r="A64" s="111" t="s">
        <v>50</v>
      </c>
      <c r="B64" s="112">
        <v>244</v>
      </c>
      <c r="C64" s="112">
        <v>7930</v>
      </c>
      <c r="D64" s="112">
        <v>1011564.74</v>
      </c>
      <c r="E64" s="115">
        <v>12.3</v>
      </c>
      <c r="F64" s="116">
        <v>7735</v>
      </c>
      <c r="G64" s="117">
        <v>50</v>
      </c>
      <c r="H64" s="111">
        <v>7.44</v>
      </c>
      <c r="I64" s="112">
        <v>4145.76</v>
      </c>
      <c r="J64" s="113"/>
      <c r="K64" s="118" t="str">
        <v>MG</v>
      </c>
      <c r="L64" s="121">
        <v>244</v>
      </c>
      <c r="M64" s="113"/>
      <c r="N64" s="113" t="str">
        <f>K64</f>
        <v>MG</v>
      </c>
      <c r="O64" s="113">
        <f>_xlfn.XLOOKUP(N64,$A$62:$A$88,$E$62:$E$88)</f>
        <v>12.3</v>
      </c>
      <c r="P64" s="113"/>
      <c r="Q64" s="113" t="str">
        <v>PR</v>
      </c>
      <c r="R64" s="113">
        <v>12.9</v>
      </c>
      <c r="S64" s="113"/>
      <c r="T64" s="113"/>
      <c r="U64" s="113" t="str">
        <f>K64</f>
        <v>MG</v>
      </c>
      <c r="V64" s="120">
        <f>_xlfn.XLOOKUP(U64,$A$62:$A$200,$G$62:$G$200)/_xlfn.XLOOKUP(U64,$A$62:$A$200,$C$62:$C$200)</f>
        <v>6.3051702395964691E-3</v>
      </c>
      <c r="W64" s="113"/>
      <c r="X64" s="113"/>
      <c r="Y64" s="113" t="s">
        <v>49</v>
      </c>
      <c r="Z64" s="120">
        <f>_xlfn.XLOOKUP(Y64,$A$62:$A$200,$G$62:$G$200)/_xlfn.XLOOKUP(Y64,$A$62:$A$200,$C$62:$C$200)</f>
        <v>4.8242591316333561E-3</v>
      </c>
    </row>
    <row r="65" spans="1:26">
      <c r="A65" s="111" t="s">
        <v>49</v>
      </c>
      <c r="B65" s="112">
        <v>171</v>
      </c>
      <c r="C65" s="112">
        <v>4353</v>
      </c>
      <c r="D65" s="112">
        <v>843984.22</v>
      </c>
      <c r="E65" s="115">
        <v>11.6</v>
      </c>
      <c r="F65" s="116">
        <v>4227</v>
      </c>
      <c r="G65" s="117">
        <v>21</v>
      </c>
      <c r="H65" s="111">
        <v>6.21</v>
      </c>
      <c r="I65" s="112">
        <v>4935.58</v>
      </c>
      <c r="J65" s="113"/>
      <c r="K65" s="118" t="str">
        <v>SC</v>
      </c>
      <c r="L65" s="121">
        <v>190</v>
      </c>
      <c r="M65" s="113"/>
      <c r="N65" s="113" t="str">
        <f>K65</f>
        <v>SC</v>
      </c>
      <c r="O65" s="113">
        <f>_xlfn.XLOOKUP(N65,$A$62:$A$88,$E$62:$E$88)</f>
        <v>13.1</v>
      </c>
      <c r="P65" s="113"/>
      <c r="Q65" s="113" t="str">
        <v>GO</v>
      </c>
      <c r="R65" s="113">
        <v>12.4</v>
      </c>
      <c r="S65" s="113"/>
      <c r="T65" s="113"/>
      <c r="U65" s="113" t="str">
        <f>K65</f>
        <v>SC</v>
      </c>
      <c r="V65" s="120">
        <f>_xlfn.XLOOKUP(U65,$A$62:$A$200,$G$62:$G$200)/_xlfn.XLOOKUP(U65,$A$62:$A$200,$C$62:$C$200)</f>
        <v>4.635942187073902E-3</v>
      </c>
      <c r="W65" s="113"/>
      <c r="X65" s="113"/>
      <c r="Y65" s="113" t="s">
        <v>48</v>
      </c>
      <c r="Z65" s="120">
        <f>_xlfn.XLOOKUP(Y65,$A$62:$A$200,$G$62:$G$200)/_xlfn.XLOOKUP(Y65,$A$62:$A$200,$C$62:$C$200)</f>
        <v>4.7301533025588417E-3</v>
      </c>
    </row>
    <row r="66" spans="1:26">
      <c r="A66" s="111" t="s">
        <v>53</v>
      </c>
      <c r="B66" s="112">
        <v>190</v>
      </c>
      <c r="C66" s="112">
        <v>3667</v>
      </c>
      <c r="D66" s="112">
        <v>632426.06999999995</v>
      </c>
      <c r="E66" s="115">
        <v>13.1</v>
      </c>
      <c r="F66" s="116">
        <v>3603</v>
      </c>
      <c r="G66" s="117">
        <v>17</v>
      </c>
      <c r="H66" s="111">
        <v>4.6500000000000004</v>
      </c>
      <c r="I66" s="112">
        <v>3328.56</v>
      </c>
      <c r="J66" s="113"/>
      <c r="K66" s="118" t="str">
        <v>RJ</v>
      </c>
      <c r="L66" s="121">
        <v>171</v>
      </c>
      <c r="M66" s="113"/>
      <c r="N66" s="113" t="str">
        <f>K66</f>
        <v>RJ</v>
      </c>
      <c r="O66" s="113">
        <f>_xlfn.XLOOKUP(N66,$A$62:$A$88,$E$62:$E$88)</f>
        <v>11.6</v>
      </c>
      <c r="P66" s="113"/>
      <c r="Q66" s="113" t="str">
        <v>ES</v>
      </c>
      <c r="R66" s="113">
        <v>12.4</v>
      </c>
      <c r="S66" s="113"/>
      <c r="T66" s="113"/>
      <c r="U66" s="113" t="str">
        <f>K66</f>
        <v>RJ</v>
      </c>
      <c r="V66" s="120">
        <f>_xlfn.XLOOKUP(U66,$A$62:$A$200,$G$62:$G$200)/_xlfn.XLOOKUP(U66,$A$62:$A$200,$C$62:$C$200)</f>
        <v>4.8242591316333561E-3</v>
      </c>
      <c r="W66" s="113"/>
      <c r="X66" s="113"/>
      <c r="Y66" s="113" t="s">
        <v>53</v>
      </c>
      <c r="Z66" s="120">
        <f>_xlfn.XLOOKUP(Y66,$A$62:$A$200,$G$62:$G$200)/_xlfn.XLOOKUP(Y66,$A$62:$A$200,$C$62:$C$200)</f>
        <v>4.635942187073902E-3</v>
      </c>
    </row>
    <row r="67" spans="1:26">
      <c r="A67" s="111" t="s">
        <v>51</v>
      </c>
      <c r="B67" s="112">
        <v>129</v>
      </c>
      <c r="C67" s="112">
        <v>1989</v>
      </c>
      <c r="D67" s="112">
        <v>378559.54</v>
      </c>
      <c r="E67" s="115">
        <v>11.1</v>
      </c>
      <c r="F67" s="116">
        <v>1962</v>
      </c>
      <c r="G67" s="117">
        <v>6</v>
      </c>
      <c r="H67" s="111">
        <v>2.79</v>
      </c>
      <c r="I67" s="112">
        <v>2934.57</v>
      </c>
      <c r="J67" s="113"/>
      <c r="K67" s="118" t="str">
        <v>RS</v>
      </c>
      <c r="L67" s="121">
        <v>129</v>
      </c>
      <c r="M67" s="113"/>
      <c r="N67" s="113" t="str">
        <f>K67</f>
        <v>RS</v>
      </c>
      <c r="O67" s="113">
        <f>_xlfn.XLOOKUP(N67,$A$62:$A$88,$E$62:$E$88)</f>
        <v>11.1</v>
      </c>
      <c r="P67" s="113"/>
      <c r="Q67" s="113" t="str">
        <v>MG</v>
      </c>
      <c r="R67" s="113">
        <v>12.3</v>
      </c>
      <c r="S67" s="113"/>
      <c r="T67" s="113"/>
      <c r="U67" s="113" t="str">
        <f>K67</f>
        <v>RS</v>
      </c>
      <c r="V67" s="120">
        <f>_xlfn.XLOOKUP(U67,$A$62:$A$200,$G$62:$G$200)/_xlfn.XLOOKUP(U67,$A$62:$A$200,$C$62:$C$200)</f>
        <v>3.0165912518853697E-3</v>
      </c>
      <c r="W67" s="113"/>
      <c r="X67" s="113"/>
      <c r="Y67" s="113" t="s">
        <v>55</v>
      </c>
      <c r="Z67" s="120">
        <f>_xlfn.XLOOKUP(Y67,$A$62:$A$200,$G$62:$G$200)/_xlfn.XLOOKUP(Y67,$A$62:$A$200,$C$62:$C$200)</f>
        <v>3.6407766990291263E-3</v>
      </c>
    </row>
    <row r="68" spans="1:26">
      <c r="A68" s="111" t="s">
        <v>54</v>
      </c>
      <c r="B68" s="112">
        <v>19</v>
      </c>
      <c r="C68" s="112">
        <v>569</v>
      </c>
      <c r="D68" s="112">
        <v>285561.56</v>
      </c>
      <c r="E68" s="115">
        <v>13.4</v>
      </c>
      <c r="F68" s="122">
        <v>550</v>
      </c>
      <c r="G68" s="117">
        <v>2</v>
      </c>
      <c r="H68" s="111">
        <v>2.1</v>
      </c>
      <c r="I68" s="112">
        <v>15029.56</v>
      </c>
      <c r="J68" s="113"/>
      <c r="K68" s="118" t="str">
        <v>GO</v>
      </c>
      <c r="L68" s="121">
        <v>40</v>
      </c>
      <c r="M68" s="113"/>
      <c r="N68" s="113" t="str">
        <f>K68</f>
        <v>GO</v>
      </c>
      <c r="O68" s="113">
        <f>_xlfn.XLOOKUP(N68,$A$62:$A$88,$E$62:$E$88)</f>
        <v>12.4</v>
      </c>
      <c r="P68" s="113"/>
      <c r="Q68" s="113" t="str">
        <v>DF</v>
      </c>
      <c r="R68" s="113">
        <v>12.1</v>
      </c>
      <c r="S68" s="113"/>
      <c r="T68" s="113"/>
      <c r="U68" s="113" t="str">
        <f>K68</f>
        <v>GO</v>
      </c>
      <c r="V68" s="120">
        <f>_xlfn.XLOOKUP(U68,$A$62:$A$200,$G$62:$G$200)/_xlfn.XLOOKUP(U68,$A$62:$A$200,$C$62:$C$200)</f>
        <v>6.4794816414686825E-3</v>
      </c>
      <c r="W68" s="113"/>
      <c r="X68" s="113"/>
      <c r="Y68" s="113" t="s">
        <v>54</v>
      </c>
      <c r="Z68" s="120">
        <f>_xlfn.XLOOKUP(Y68,$A$62:$A$200,$G$62:$G$200)/_xlfn.XLOOKUP(Y68,$A$62:$A$200,$C$62:$C$200)</f>
        <v>3.5149384885764497E-3</v>
      </c>
    </row>
    <row r="69" spans="1:26">
      <c r="A69" s="111" t="s">
        <v>55</v>
      </c>
      <c r="B69" s="112">
        <v>30</v>
      </c>
      <c r="C69" s="112">
        <v>824</v>
      </c>
      <c r="D69" s="112">
        <v>97749.48</v>
      </c>
      <c r="E69" s="115">
        <v>12.1</v>
      </c>
      <c r="F69" s="122">
        <v>808</v>
      </c>
      <c r="G69" s="117">
        <v>3</v>
      </c>
      <c r="H69" s="111">
        <v>0.72</v>
      </c>
      <c r="I69" s="112">
        <v>3258.32</v>
      </c>
      <c r="J69" s="113"/>
      <c r="K69" s="118" t="str">
        <v>DF</v>
      </c>
      <c r="L69" s="121">
        <v>30</v>
      </c>
      <c r="M69" s="113"/>
      <c r="N69" s="113" t="str">
        <f>K69</f>
        <v>DF</v>
      </c>
      <c r="O69" s="113">
        <f>_xlfn.XLOOKUP(N69,$A$62:$A$88,$E$62:$E$88)</f>
        <v>12.1</v>
      </c>
      <c r="P69" s="113"/>
      <c r="Q69" s="113" t="str">
        <v>SP</v>
      </c>
      <c r="R69" s="113">
        <v>11.8</v>
      </c>
      <c r="S69" s="113"/>
      <c r="T69" s="113"/>
      <c r="U69" s="113" t="str">
        <f>K69</f>
        <v>DF</v>
      </c>
      <c r="V69" s="120">
        <f>_xlfn.XLOOKUP(U69,$A$62:$A$200,$G$62:$G$200)/_xlfn.XLOOKUP(U69,$A$62:$A$200,$C$62:$C$200)</f>
        <v>3.6407766990291263E-3</v>
      </c>
      <c r="W69" s="113"/>
      <c r="X69" s="113"/>
      <c r="Y69" s="113" t="s">
        <v>52</v>
      </c>
      <c r="Z69" s="120">
        <f>_xlfn.XLOOKUP(Y69,$A$62:$A$200,$G$62:$G$200)/_xlfn.XLOOKUP(Y69,$A$62:$A$200,$C$62:$C$200)</f>
        <v>3.3885051479212824E-3</v>
      </c>
    </row>
    <row r="70" spans="1:26">
      <c r="A70" s="111" t="s">
        <v>58</v>
      </c>
      <c r="B70" s="112">
        <v>9</v>
      </c>
      <c r="C70" s="112">
        <v>406</v>
      </c>
      <c r="D70" s="112">
        <v>91493.85</v>
      </c>
      <c r="E70" s="115">
        <v>12.5</v>
      </c>
      <c r="F70" s="122">
        <v>403</v>
      </c>
      <c r="G70" s="117">
        <v>1</v>
      </c>
      <c r="H70" s="111">
        <v>0.67</v>
      </c>
      <c r="I70" s="112">
        <v>10165.98</v>
      </c>
      <c r="J70" s="113"/>
      <c r="K70" s="118" t="str">
        <v>ES</v>
      </c>
      <c r="L70" s="121">
        <v>23</v>
      </c>
      <c r="M70" s="113"/>
      <c r="N70" s="113" t="str">
        <f>K70</f>
        <v>ES</v>
      </c>
      <c r="O70" s="113">
        <f>_xlfn.XLOOKUP(N70,$A$62:$A$88,$E$62:$E$88)</f>
        <v>12.4</v>
      </c>
      <c r="P70" s="113"/>
      <c r="Q70" s="113" t="str">
        <v>RJ</v>
      </c>
      <c r="R70" s="113">
        <v>11.6</v>
      </c>
      <c r="S70" s="113"/>
      <c r="T70" s="113"/>
      <c r="U70" s="113" t="str">
        <f>K70</f>
        <v>ES</v>
      </c>
      <c r="V70" s="120">
        <f>_xlfn.XLOOKUP(U70,$A$62:$A$200,$G$62:$G$200)/_xlfn.XLOOKUP(U70,$A$62:$A$200,$C$62:$C$200)</f>
        <v>0</v>
      </c>
      <c r="W70" s="113"/>
      <c r="X70" s="113"/>
      <c r="Y70" s="113" t="s">
        <v>51</v>
      </c>
      <c r="Z70" s="120">
        <f>_xlfn.XLOOKUP(Y70,$A$62:$A$200,$G$62:$G$200)/_xlfn.XLOOKUP(Y70,$A$62:$A$200,$C$62:$C$200)</f>
        <v>3.0165912518853697E-3</v>
      </c>
    </row>
    <row r="71" spans="1:26">
      <c r="A71" s="111" t="s">
        <v>56</v>
      </c>
      <c r="B71" s="112">
        <v>40</v>
      </c>
      <c r="C71" s="112">
        <v>463</v>
      </c>
      <c r="D71" s="112">
        <v>66399.210000000006</v>
      </c>
      <c r="E71" s="115">
        <v>12.4</v>
      </c>
      <c r="F71" s="122">
        <v>451</v>
      </c>
      <c r="G71" s="117">
        <v>3</v>
      </c>
      <c r="H71" s="111">
        <v>0.49</v>
      </c>
      <c r="I71" s="112">
        <v>1659.98</v>
      </c>
      <c r="J71" s="113"/>
      <c r="K71" s="118" t="str">
        <v>BA</v>
      </c>
      <c r="L71" s="121">
        <v>19</v>
      </c>
      <c r="M71" s="113"/>
      <c r="N71" s="113" t="str">
        <f>K71</f>
        <v>BA</v>
      </c>
      <c r="O71" s="113">
        <f>_xlfn.XLOOKUP(N71,$A$62:$A$88,$E$62:$E$88)</f>
        <v>13.4</v>
      </c>
      <c r="P71" s="113"/>
      <c r="Q71" s="113" t="str">
        <v>RS</v>
      </c>
      <c r="R71" s="113">
        <v>11.1</v>
      </c>
      <c r="S71" s="113"/>
      <c r="T71" s="113"/>
      <c r="U71" s="113" t="str">
        <f>K71</f>
        <v>BA</v>
      </c>
      <c r="V71" s="120">
        <f>_xlfn.XLOOKUP(U71,$A$62:$A$200,$G$62:$G$200)/_xlfn.XLOOKUP(U71,$A$62:$A$200,$C$62:$C$200)</f>
        <v>3.5149384885764497E-3</v>
      </c>
      <c r="W71" s="113"/>
      <c r="X71" s="113"/>
      <c r="Y71" s="113" t="s">
        <v>57</v>
      </c>
      <c r="Z71" s="120">
        <f>_xlfn.XLOOKUP(Y71,$A$62:$A$200,$G$62:$G$200)/_xlfn.XLOOKUP(Y71,$A$62:$A$200,$C$62:$C$200)</f>
        <v>0</v>
      </c>
    </row>
    <row r="72" spans="1:26">
      <c r="A72" s="111" t="s">
        <v>57</v>
      </c>
      <c r="B72" s="112">
        <v>23</v>
      </c>
      <c r="C72" s="112">
        <v>318</v>
      </c>
      <c r="D72" s="112">
        <v>47689.61</v>
      </c>
      <c r="E72" s="115">
        <v>12.4</v>
      </c>
      <c r="F72" s="122">
        <v>310</v>
      </c>
      <c r="G72" s="117">
        <v>0</v>
      </c>
      <c r="H72" s="111">
        <v>0.35</v>
      </c>
      <c r="I72" s="112">
        <v>2073.46</v>
      </c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spans="1:26">
      <c r="A73" s="111" t="s">
        <v>62</v>
      </c>
      <c r="B73" s="112">
        <v>1</v>
      </c>
      <c r="C73" s="112">
        <v>392</v>
      </c>
      <c r="D73" s="112">
        <v>36408.949999999997</v>
      </c>
      <c r="E73" s="115">
        <v>17.3</v>
      </c>
      <c r="F73" s="122">
        <v>389</v>
      </c>
      <c r="G73" s="117">
        <v>0</v>
      </c>
      <c r="H73" s="111">
        <v>0.27</v>
      </c>
      <c r="I73" s="112">
        <v>36408.949999999997</v>
      </c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spans="1:26">
      <c r="A74" s="111" t="s">
        <v>59</v>
      </c>
      <c r="B74" s="112">
        <v>13</v>
      </c>
      <c r="C74" s="112">
        <v>91</v>
      </c>
      <c r="D74" s="112">
        <v>20240.64</v>
      </c>
      <c r="E74" s="115">
        <v>17.399999999999999</v>
      </c>
      <c r="F74" s="122">
        <v>87</v>
      </c>
      <c r="G74" s="117">
        <v>0</v>
      </c>
      <c r="H74" s="111">
        <v>0.15</v>
      </c>
      <c r="I74" s="112">
        <v>1556.97</v>
      </c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spans="1:26">
      <c r="A75" s="111" t="s">
        <v>63</v>
      </c>
      <c r="B75" s="112">
        <v>6</v>
      </c>
      <c r="C75" s="112">
        <v>36</v>
      </c>
      <c r="D75" s="112">
        <v>17095</v>
      </c>
      <c r="E75" s="115">
        <v>12.2</v>
      </c>
      <c r="F75" s="122">
        <v>35</v>
      </c>
      <c r="G75" s="117">
        <v>0</v>
      </c>
      <c r="H75" s="111">
        <v>0.13</v>
      </c>
      <c r="I75" s="112">
        <v>2849.17</v>
      </c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spans="1:26">
      <c r="A76" s="111" t="s">
        <v>61</v>
      </c>
      <c r="B76" s="112">
        <v>4</v>
      </c>
      <c r="C76" s="112">
        <v>137</v>
      </c>
      <c r="D76" s="112">
        <v>17070.72</v>
      </c>
      <c r="E76" s="115">
        <v>14.3</v>
      </c>
      <c r="F76" s="122">
        <v>136</v>
      </c>
      <c r="G76" s="117">
        <v>0</v>
      </c>
      <c r="H76" s="111">
        <v>0.13</v>
      </c>
      <c r="I76" s="112">
        <v>4267.68</v>
      </c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spans="1:26">
      <c r="A77" s="111" t="s">
        <v>66</v>
      </c>
      <c r="B77" s="112">
        <v>5</v>
      </c>
      <c r="C77" s="112">
        <v>51</v>
      </c>
      <c r="D77" s="112">
        <v>9992.6</v>
      </c>
      <c r="E77" s="115">
        <v>12.6</v>
      </c>
      <c r="F77" s="122">
        <v>51</v>
      </c>
      <c r="G77" s="117">
        <v>0</v>
      </c>
      <c r="H77" s="111">
        <v>7.0000000000000007E-2</v>
      </c>
      <c r="I77" s="112">
        <v>1998.52</v>
      </c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spans="1:26">
      <c r="A78" s="111" t="s">
        <v>64</v>
      </c>
      <c r="B78" s="112">
        <v>5</v>
      </c>
      <c r="C78" s="112">
        <v>49</v>
      </c>
      <c r="D78" s="112">
        <v>8551.69</v>
      </c>
      <c r="E78" s="115">
        <v>11.9</v>
      </c>
      <c r="F78" s="122">
        <v>49</v>
      </c>
      <c r="G78" s="117">
        <v>0</v>
      </c>
      <c r="H78" s="111">
        <v>0.06</v>
      </c>
      <c r="I78" s="112">
        <v>1710.34</v>
      </c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spans="1:26">
      <c r="A79" s="111" t="s">
        <v>70</v>
      </c>
      <c r="B79" s="112">
        <v>2</v>
      </c>
      <c r="C79" s="112">
        <v>14</v>
      </c>
      <c r="D79" s="112">
        <v>4762.2</v>
      </c>
      <c r="E79" s="115">
        <v>16.899999999999999</v>
      </c>
      <c r="F79" s="122">
        <v>14</v>
      </c>
      <c r="G79" s="117">
        <v>0</v>
      </c>
      <c r="H79" s="111">
        <v>0.04</v>
      </c>
      <c r="I79" s="112">
        <v>2381.1</v>
      </c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spans="1:26">
      <c r="A80" s="111" t="s">
        <v>65</v>
      </c>
      <c r="B80" s="112">
        <v>1</v>
      </c>
      <c r="C80" s="112">
        <v>12</v>
      </c>
      <c r="D80" s="112">
        <v>2522</v>
      </c>
      <c r="E80" s="115">
        <v>13.3</v>
      </c>
      <c r="F80" s="122">
        <v>11</v>
      </c>
      <c r="G80" s="117">
        <v>0</v>
      </c>
      <c r="H80" s="111">
        <v>0.02</v>
      </c>
      <c r="I80" s="112">
        <v>2522</v>
      </c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spans="1:26">
      <c r="A81" s="111" t="s">
        <v>68</v>
      </c>
      <c r="B81" s="112">
        <v>2</v>
      </c>
      <c r="C81" s="112">
        <v>9</v>
      </c>
      <c r="D81" s="112">
        <v>1606.2</v>
      </c>
      <c r="E81" s="115">
        <v>12.2</v>
      </c>
      <c r="F81" s="122">
        <v>9</v>
      </c>
      <c r="G81" s="117">
        <v>0</v>
      </c>
      <c r="H81" s="111">
        <v>0.01</v>
      </c>
      <c r="I81" s="112">
        <v>803.1</v>
      </c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spans="1:26">
      <c r="A82" s="111" t="s">
        <v>60</v>
      </c>
      <c r="B82" s="112">
        <v>1</v>
      </c>
      <c r="C82" s="112">
        <v>8</v>
      </c>
      <c r="D82" s="112">
        <v>1238</v>
      </c>
      <c r="E82" s="115">
        <v>13.1</v>
      </c>
      <c r="F82" s="122">
        <v>8</v>
      </c>
      <c r="G82" s="117">
        <v>0</v>
      </c>
      <c r="H82" s="111">
        <v>0.01</v>
      </c>
      <c r="I82" s="112">
        <v>1238</v>
      </c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spans="1:26">
      <c r="A83" s="111" t="s">
        <v>71</v>
      </c>
      <c r="B83" s="112">
        <v>1</v>
      </c>
      <c r="C83" s="112">
        <v>3</v>
      </c>
      <c r="D83" s="112">
        <v>1177</v>
      </c>
      <c r="E83" s="115">
        <v>47.3</v>
      </c>
      <c r="F83" s="122">
        <v>3</v>
      </c>
      <c r="G83" s="117">
        <v>0</v>
      </c>
      <c r="H83" s="111">
        <v>0.01</v>
      </c>
      <c r="I83" s="112">
        <v>1177</v>
      </c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spans="1:26">
      <c r="A84" s="111" t="s">
        <v>72</v>
      </c>
      <c r="B84" s="112">
        <v>1</v>
      </c>
      <c r="C84" s="112">
        <v>1</v>
      </c>
      <c r="D84" s="112">
        <v>267</v>
      </c>
      <c r="E84" s="111"/>
      <c r="F84" s="122">
        <v>0</v>
      </c>
      <c r="G84" s="117">
        <v>0</v>
      </c>
      <c r="H84" s="111">
        <v>0</v>
      </c>
      <c r="I84" s="112">
        <v>267</v>
      </c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</sheetData>
  <sortState xmlns:xlrd2="http://schemas.microsoft.com/office/spreadsheetml/2017/richdata2" ref="U62:W71">
    <sortCondition descending="1" ref="V62:V71"/>
  </sortState>
  <mergeCells count="1">
    <mergeCell ref="A2:H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BC22-BBC7-4EEA-A891-76DB6A0B1C53}">
  <sheetPr>
    <tabColor theme="6"/>
  </sheetPr>
  <dimension ref="A2:T43"/>
  <sheetViews>
    <sheetView showGridLines="0" tabSelected="1" workbookViewId="0">
      <selection activeCell="S11" sqref="S11"/>
    </sheetView>
  </sheetViews>
  <sheetFormatPr defaultRowHeight="15"/>
  <cols>
    <col min="1" max="1" width="4" style="1" customWidth="1"/>
    <col min="2" max="3" width="9.140625" style="1"/>
    <col min="4" max="4" width="12.5703125" style="1" customWidth="1"/>
    <col min="5" max="5" width="7" style="1" customWidth="1"/>
    <col min="6" max="6" width="16.140625" style="1" customWidth="1"/>
    <col min="7" max="7" width="6.28515625" style="1" customWidth="1"/>
    <col min="8" max="8" width="11.5703125" style="1" customWidth="1"/>
    <col min="9" max="9" width="7.42578125" style="1" customWidth="1"/>
    <col min="10" max="10" width="0.42578125" style="1" customWidth="1"/>
    <col min="11" max="14" width="9.140625" style="1"/>
    <col min="15" max="15" width="4.28515625" style="1" customWidth="1"/>
    <col min="16" max="16384" width="9.140625" style="1"/>
  </cols>
  <sheetData>
    <row r="2" spans="1:15" ht="31.5">
      <c r="B2" s="107" t="s">
        <v>177</v>
      </c>
      <c r="C2" s="107"/>
      <c r="D2" s="107"/>
      <c r="E2" s="107"/>
      <c r="F2" s="107"/>
      <c r="G2" s="107"/>
      <c r="H2" s="107"/>
      <c r="I2" s="107"/>
      <c r="J2" s="107"/>
    </row>
    <row r="3" spans="1:15">
      <c r="B3" s="108" t="s">
        <v>178</v>
      </c>
      <c r="C3" s="108"/>
      <c r="D3" s="108"/>
      <c r="E3" s="108"/>
      <c r="F3" s="108"/>
      <c r="G3" s="108"/>
      <c r="H3" s="108"/>
      <c r="I3" s="108"/>
      <c r="J3" s="108"/>
    </row>
    <row r="5" spans="1:15">
      <c r="B5" s="67" t="s">
        <v>179</v>
      </c>
      <c r="C5" s="68"/>
      <c r="D5" s="67" t="s">
        <v>180</v>
      </c>
      <c r="E5" s="68"/>
      <c r="F5" s="67" t="s">
        <v>181</v>
      </c>
      <c r="G5" s="68"/>
      <c r="H5" s="69" t="s">
        <v>182</v>
      </c>
      <c r="I5" s="70"/>
    </row>
    <row r="6" spans="1:15">
      <c r="B6" s="17"/>
      <c r="C6" s="21"/>
      <c r="D6" s="23"/>
      <c r="E6" s="21"/>
      <c r="F6" s="17"/>
      <c r="G6" s="21"/>
      <c r="H6" s="17" t="s">
        <v>183</v>
      </c>
      <c r="I6" s="18"/>
    </row>
    <row r="7" spans="1:15" ht="21">
      <c r="B7" s="89" t="str">
        <f>'Executive KPI Review'!A9</f>
        <v>16.01M</v>
      </c>
      <c r="C7" s="90"/>
      <c r="D7" s="24">
        <f>'Executive KPI Review'!E16</f>
        <v>0.20000913549133686</v>
      </c>
      <c r="E7" s="21"/>
      <c r="F7" s="25">
        <f>'Operations Investigation'!C9</f>
        <v>0.97792968553078652</v>
      </c>
      <c r="G7" s="21"/>
      <c r="H7" s="25">
        <f>'Operations Investigation'!E9</f>
        <v>4.6479739471482007E-3</v>
      </c>
      <c r="I7" s="18"/>
    </row>
    <row r="8" spans="1:15">
      <c r="B8" s="19"/>
      <c r="C8" s="22"/>
      <c r="D8" s="19"/>
      <c r="E8" s="22"/>
      <c r="F8" s="19"/>
      <c r="G8" s="22"/>
      <c r="H8" s="19"/>
      <c r="I8" s="20"/>
    </row>
    <row r="10" spans="1:15" ht="18.75">
      <c r="B10" s="97" t="s">
        <v>184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</row>
    <row r="12" spans="1:15" ht="15.75">
      <c r="A12" s="21"/>
      <c r="B12" s="71" t="s">
        <v>185</v>
      </c>
      <c r="C12" s="72"/>
      <c r="D12" s="70"/>
      <c r="F12" s="71" t="s">
        <v>186</v>
      </c>
      <c r="G12" s="68"/>
      <c r="H12" s="70"/>
      <c r="K12" s="71" t="s">
        <v>187</v>
      </c>
      <c r="L12" s="68"/>
      <c r="M12" s="68"/>
      <c r="N12" s="68"/>
      <c r="O12" s="70"/>
    </row>
    <row r="13" spans="1:15">
      <c r="A13" s="21"/>
      <c r="B13" s="33"/>
      <c r="C13" s="34"/>
      <c r="D13" s="35"/>
      <c r="F13" s="31"/>
      <c r="G13" s="40"/>
      <c r="H13" s="35"/>
      <c r="K13" s="31"/>
      <c r="L13" s="40"/>
      <c r="M13" s="40"/>
      <c r="N13" s="40"/>
      <c r="O13" s="35"/>
    </row>
    <row r="14" spans="1:15">
      <c r="A14" s="21"/>
      <c r="B14" s="36" t="s">
        <v>188</v>
      </c>
      <c r="C14" s="37"/>
      <c r="D14" s="35"/>
      <c r="F14" s="36" t="s">
        <v>189</v>
      </c>
      <c r="G14" s="40"/>
      <c r="H14" s="35"/>
      <c r="K14" s="38" t="s">
        <v>190</v>
      </c>
      <c r="L14" s="40"/>
      <c r="M14" s="40"/>
      <c r="N14" s="40"/>
      <c r="O14" s="35"/>
    </row>
    <row r="15" spans="1:15">
      <c r="A15" s="21"/>
      <c r="B15" s="33"/>
      <c r="C15" s="37"/>
      <c r="D15" s="35"/>
      <c r="F15" s="36" t="s">
        <v>191</v>
      </c>
      <c r="G15" s="40"/>
      <c r="H15" s="35"/>
      <c r="K15" s="38" t="s">
        <v>192</v>
      </c>
      <c r="L15" s="40"/>
      <c r="M15" s="40"/>
      <c r="N15" s="40"/>
      <c r="O15" s="35"/>
    </row>
    <row r="16" spans="1:15">
      <c r="A16" s="21"/>
      <c r="B16" s="38" t="s">
        <v>193</v>
      </c>
      <c r="C16" s="39"/>
      <c r="D16" s="35"/>
      <c r="F16" s="36" t="s">
        <v>194</v>
      </c>
      <c r="G16" s="40"/>
      <c r="H16" s="35"/>
      <c r="K16" s="38" t="s">
        <v>195</v>
      </c>
      <c r="L16" s="40"/>
      <c r="M16" s="40"/>
      <c r="N16" s="40"/>
      <c r="O16" s="35"/>
    </row>
    <row r="17" spans="1:20">
      <c r="A17" s="21"/>
      <c r="B17" s="33"/>
      <c r="C17" s="37"/>
      <c r="D17" s="35"/>
      <c r="F17" s="36" t="s">
        <v>196</v>
      </c>
      <c r="G17" s="40"/>
      <c r="H17" s="35"/>
      <c r="K17" s="31"/>
      <c r="L17" s="40"/>
      <c r="M17" s="40"/>
      <c r="N17" s="40"/>
      <c r="O17" s="35"/>
    </row>
    <row r="18" spans="1:20">
      <c r="A18" s="21"/>
      <c r="B18" s="65" t="s">
        <v>197</v>
      </c>
      <c r="C18" s="37"/>
      <c r="D18" s="35"/>
      <c r="F18" s="36" t="s">
        <v>198</v>
      </c>
      <c r="G18" s="40"/>
      <c r="H18" s="35"/>
      <c r="K18" s="66" t="s">
        <v>197</v>
      </c>
      <c r="L18" s="40"/>
      <c r="M18" s="40"/>
      <c r="N18" s="40"/>
      <c r="O18" s="35"/>
    </row>
    <row r="19" spans="1:20">
      <c r="A19" s="21"/>
      <c r="B19" s="38" t="s">
        <v>199</v>
      </c>
      <c r="C19" s="40"/>
      <c r="D19" s="35"/>
      <c r="F19" s="36" t="s">
        <v>200</v>
      </c>
      <c r="G19" s="40"/>
      <c r="H19" s="35"/>
      <c r="K19" s="38" t="s">
        <v>201</v>
      </c>
      <c r="L19" s="40"/>
      <c r="M19" s="40"/>
      <c r="N19" s="40"/>
      <c r="O19" s="35"/>
    </row>
    <row r="20" spans="1:20">
      <c r="A20" s="21"/>
      <c r="B20" s="41" t="s">
        <v>202</v>
      </c>
      <c r="C20" s="40"/>
      <c r="D20" s="35"/>
      <c r="F20" s="38"/>
      <c r="G20" s="40"/>
      <c r="H20" s="35"/>
      <c r="K20" s="41" t="s">
        <v>203</v>
      </c>
      <c r="L20" s="40"/>
      <c r="M20" s="40"/>
      <c r="N20" s="40"/>
      <c r="O20" s="35"/>
    </row>
    <row r="21" spans="1:20">
      <c r="A21" s="21"/>
      <c r="B21" s="41" t="s">
        <v>204</v>
      </c>
      <c r="C21" s="40"/>
      <c r="D21" s="35"/>
      <c r="F21" s="64" t="s">
        <v>197</v>
      </c>
      <c r="G21" s="40"/>
      <c r="H21" s="35"/>
      <c r="K21" s="31"/>
      <c r="L21" s="40"/>
      <c r="M21" s="40"/>
      <c r="N21" s="40"/>
      <c r="O21" s="35"/>
    </row>
    <row r="22" spans="1:20">
      <c r="A22" s="21"/>
      <c r="B22" s="31"/>
      <c r="C22" s="40"/>
      <c r="D22" s="35"/>
      <c r="F22" s="36" t="s">
        <v>205</v>
      </c>
      <c r="G22" s="40"/>
      <c r="H22" s="35"/>
      <c r="K22" s="31"/>
      <c r="L22" s="40"/>
      <c r="M22" s="40"/>
      <c r="N22" s="40"/>
      <c r="O22" s="35"/>
    </row>
    <row r="23" spans="1:20">
      <c r="B23" s="42"/>
      <c r="C23" s="43"/>
      <c r="D23" s="44"/>
      <c r="F23" s="45" t="s">
        <v>206</v>
      </c>
      <c r="G23" s="43"/>
      <c r="H23" s="44"/>
      <c r="K23" s="42"/>
      <c r="L23" s="43"/>
      <c r="M23" s="43"/>
      <c r="N23" s="43"/>
      <c r="O23" s="44"/>
    </row>
    <row r="25" spans="1:20" ht="18.75">
      <c r="B25" s="98" t="s">
        <v>207</v>
      </c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</row>
    <row r="27" spans="1:20">
      <c r="B27" s="67" t="s">
        <v>208</v>
      </c>
      <c r="C27" s="99" t="s">
        <v>209</v>
      </c>
      <c r="D27" s="99"/>
      <c r="E27" s="99"/>
      <c r="F27" s="99"/>
      <c r="G27" s="99" t="s">
        <v>207</v>
      </c>
      <c r="H27" s="99"/>
      <c r="I27" s="99"/>
      <c r="J27" s="99"/>
      <c r="K27" s="99"/>
      <c r="L27" s="99"/>
      <c r="M27" s="99"/>
      <c r="N27" s="99"/>
      <c r="O27" s="99"/>
      <c r="P27" s="99"/>
      <c r="Q27" s="99" t="s">
        <v>210</v>
      </c>
      <c r="R27" s="99"/>
      <c r="S27" s="99"/>
      <c r="T27" s="100"/>
    </row>
    <row r="28" spans="1:20">
      <c r="B28" s="30"/>
      <c r="C28" s="101"/>
      <c r="D28" s="101"/>
      <c r="E28" s="101"/>
      <c r="F28" s="101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1"/>
      <c r="R28" s="101"/>
      <c r="S28" s="101"/>
      <c r="T28" s="102"/>
    </row>
    <row r="29" spans="1:20">
      <c r="B29" s="31" t="s">
        <v>211</v>
      </c>
      <c r="C29" s="101" t="s">
        <v>212</v>
      </c>
      <c r="D29" s="101"/>
      <c r="E29" s="101"/>
      <c r="F29" s="101"/>
      <c r="G29" s="105" t="s">
        <v>213</v>
      </c>
      <c r="H29" s="105"/>
      <c r="I29" s="105"/>
      <c r="J29" s="105"/>
      <c r="K29" s="105"/>
      <c r="L29" s="105"/>
      <c r="M29" s="105"/>
      <c r="N29" s="105"/>
      <c r="O29" s="105"/>
      <c r="P29" s="105"/>
      <c r="Q29" s="101" t="s">
        <v>214</v>
      </c>
      <c r="R29" s="101"/>
      <c r="S29" s="101"/>
      <c r="T29" s="102"/>
    </row>
    <row r="30" spans="1:20">
      <c r="B30" s="30" t="s">
        <v>211</v>
      </c>
      <c r="C30" s="101" t="s">
        <v>215</v>
      </c>
      <c r="D30" s="101"/>
      <c r="E30" s="101"/>
      <c r="F30" s="101"/>
      <c r="G30" s="105" t="s">
        <v>216</v>
      </c>
      <c r="H30" s="105"/>
      <c r="I30" s="105"/>
      <c r="J30" s="105"/>
      <c r="K30" s="105"/>
      <c r="L30" s="105"/>
      <c r="M30" s="105"/>
      <c r="N30" s="105"/>
      <c r="O30" s="105"/>
      <c r="P30" s="105"/>
      <c r="Q30" s="101" t="s">
        <v>217</v>
      </c>
      <c r="R30" s="101"/>
      <c r="S30" s="101"/>
      <c r="T30" s="102"/>
    </row>
    <row r="31" spans="1:20">
      <c r="B31" s="30" t="s">
        <v>211</v>
      </c>
      <c r="C31" s="101" t="s">
        <v>218</v>
      </c>
      <c r="D31" s="101"/>
      <c r="E31" s="101"/>
      <c r="F31" s="101"/>
      <c r="G31" s="105" t="s">
        <v>219</v>
      </c>
      <c r="H31" s="105"/>
      <c r="I31" s="105"/>
      <c r="J31" s="105"/>
      <c r="K31" s="105"/>
      <c r="L31" s="105"/>
      <c r="M31" s="105"/>
      <c r="N31" s="105"/>
      <c r="O31" s="105"/>
      <c r="P31" s="105"/>
      <c r="Q31" s="101" t="s">
        <v>220</v>
      </c>
      <c r="R31" s="101"/>
      <c r="S31" s="101"/>
      <c r="T31" s="102"/>
    </row>
    <row r="32" spans="1:20">
      <c r="B32" s="30" t="s">
        <v>221</v>
      </c>
      <c r="C32" s="101" t="s">
        <v>222</v>
      </c>
      <c r="D32" s="101"/>
      <c r="E32" s="101"/>
      <c r="F32" s="101"/>
      <c r="G32" s="105" t="s">
        <v>223</v>
      </c>
      <c r="H32" s="105"/>
      <c r="I32" s="105"/>
      <c r="J32" s="105"/>
      <c r="K32" s="105"/>
      <c r="L32" s="105"/>
      <c r="M32" s="105"/>
      <c r="N32" s="105"/>
      <c r="O32" s="105"/>
      <c r="P32" s="105"/>
      <c r="Q32" s="101" t="s">
        <v>224</v>
      </c>
      <c r="R32" s="101"/>
      <c r="S32" s="101"/>
      <c r="T32" s="102"/>
    </row>
    <row r="33" spans="2:20">
      <c r="B33" s="32" t="s">
        <v>221</v>
      </c>
      <c r="C33" s="103" t="s">
        <v>225</v>
      </c>
      <c r="D33" s="103"/>
      <c r="E33" s="103"/>
      <c r="F33" s="103"/>
      <c r="G33" s="106" t="s">
        <v>226</v>
      </c>
      <c r="H33" s="106"/>
      <c r="I33" s="106"/>
      <c r="J33" s="106"/>
      <c r="K33" s="106"/>
      <c r="L33" s="106"/>
      <c r="M33" s="106"/>
      <c r="N33" s="106"/>
      <c r="O33" s="106"/>
      <c r="P33" s="106"/>
      <c r="Q33" s="103" t="s">
        <v>227</v>
      </c>
      <c r="R33" s="103"/>
      <c r="S33" s="103"/>
      <c r="T33" s="104"/>
    </row>
    <row r="34" spans="2:20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 spans="2:20" ht="18.75">
      <c r="B35" s="97" t="s">
        <v>228</v>
      </c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</row>
    <row r="36" spans="2:20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 spans="2:20">
      <c r="B37" s="91" t="s">
        <v>229</v>
      </c>
      <c r="C37" s="92"/>
      <c r="D37" s="92"/>
      <c r="E37" s="92"/>
      <c r="F37" s="91" t="s">
        <v>230</v>
      </c>
      <c r="G37" s="92"/>
      <c r="H37" s="92"/>
      <c r="I37" s="92"/>
      <c r="J37" s="82"/>
      <c r="K37" s="92" t="s">
        <v>231</v>
      </c>
      <c r="L37" s="92"/>
      <c r="M37" s="92"/>
      <c r="N37" s="92"/>
      <c r="O37" s="93"/>
      <c r="P37" s="92" t="s">
        <v>232</v>
      </c>
      <c r="Q37" s="92"/>
      <c r="R37" s="92"/>
      <c r="S37" s="92"/>
      <c r="T37" s="93"/>
    </row>
    <row r="38" spans="2:20">
      <c r="B38" s="83"/>
      <c r="C38" s="84"/>
      <c r="D38" s="84"/>
      <c r="E38" s="84"/>
      <c r="F38" s="83"/>
      <c r="G38" s="84"/>
      <c r="H38" s="84"/>
      <c r="I38" s="84"/>
      <c r="J38" s="80"/>
      <c r="K38" s="84"/>
      <c r="L38" s="84"/>
      <c r="M38" s="84"/>
      <c r="N38" s="84"/>
      <c r="O38" s="84"/>
      <c r="P38" s="94"/>
      <c r="Q38" s="95"/>
      <c r="R38" s="95"/>
      <c r="S38" s="95"/>
      <c r="T38" s="96"/>
    </row>
    <row r="39" spans="2:20">
      <c r="B39" s="83" t="s">
        <v>233</v>
      </c>
      <c r="C39" s="84"/>
      <c r="D39" s="84"/>
      <c r="E39" s="84"/>
      <c r="F39" s="83" t="s">
        <v>234</v>
      </c>
      <c r="G39" s="84"/>
      <c r="H39" s="84"/>
      <c r="I39" s="84"/>
      <c r="J39" s="80"/>
      <c r="K39" s="84" t="s">
        <v>94</v>
      </c>
      <c r="L39" s="84"/>
      <c r="M39" s="84"/>
      <c r="N39" s="84"/>
      <c r="O39" s="84"/>
      <c r="P39" s="17"/>
      <c r="Q39" s="21"/>
      <c r="R39" s="21"/>
      <c r="S39" s="21"/>
      <c r="T39" s="18"/>
    </row>
    <row r="40" spans="2:20">
      <c r="B40" s="83" t="s">
        <v>235</v>
      </c>
      <c r="C40" s="84"/>
      <c r="D40" s="84"/>
      <c r="E40" s="84"/>
      <c r="F40" s="83" t="s">
        <v>236</v>
      </c>
      <c r="G40" s="84"/>
      <c r="H40" s="84"/>
      <c r="I40" s="84"/>
      <c r="J40" s="80"/>
      <c r="K40" s="84" t="s">
        <v>237</v>
      </c>
      <c r="L40" s="84"/>
      <c r="M40" s="84"/>
      <c r="N40" s="84"/>
      <c r="O40" s="84"/>
      <c r="P40" s="83" t="s">
        <v>238</v>
      </c>
      <c r="Q40" s="84"/>
      <c r="R40" s="84"/>
      <c r="S40" s="84"/>
      <c r="T40" s="85"/>
    </row>
    <row r="41" spans="2:20">
      <c r="B41" s="83"/>
      <c r="C41" s="84"/>
      <c r="D41" s="84"/>
      <c r="E41" s="84"/>
      <c r="F41" s="83"/>
      <c r="G41" s="84"/>
      <c r="H41" s="84"/>
      <c r="I41" s="84"/>
      <c r="J41" s="80"/>
      <c r="K41" s="84"/>
      <c r="L41" s="84"/>
      <c r="M41" s="84"/>
      <c r="N41" s="84"/>
      <c r="O41" s="84"/>
      <c r="P41" s="17"/>
      <c r="Q41" s="21"/>
      <c r="R41" s="21"/>
      <c r="S41" s="21"/>
      <c r="T41" s="18"/>
    </row>
    <row r="42" spans="2:20">
      <c r="B42" s="83" t="s">
        <v>239</v>
      </c>
      <c r="C42" s="84"/>
      <c r="D42" s="84"/>
      <c r="E42" s="84"/>
      <c r="F42" s="83" t="s">
        <v>240</v>
      </c>
      <c r="G42" s="84"/>
      <c r="H42" s="84"/>
      <c r="I42" s="84"/>
      <c r="J42" s="80"/>
      <c r="K42" s="84" t="s">
        <v>241</v>
      </c>
      <c r="L42" s="84"/>
      <c r="M42" s="84"/>
      <c r="N42" s="84"/>
      <c r="O42" s="84"/>
      <c r="P42" s="83" t="s">
        <v>242</v>
      </c>
      <c r="Q42" s="84"/>
      <c r="R42" s="84"/>
      <c r="S42" s="84"/>
      <c r="T42" s="85"/>
    </row>
    <row r="43" spans="2:20">
      <c r="B43" s="86"/>
      <c r="C43" s="87"/>
      <c r="D43" s="87"/>
      <c r="E43" s="87"/>
      <c r="F43" s="86"/>
      <c r="G43" s="87"/>
      <c r="H43" s="87"/>
      <c r="I43" s="87"/>
      <c r="J43" s="81"/>
      <c r="K43" s="87"/>
      <c r="L43" s="87"/>
      <c r="M43" s="87"/>
      <c r="N43" s="87"/>
      <c r="O43" s="87"/>
      <c r="P43" s="86"/>
      <c r="Q43" s="87"/>
      <c r="R43" s="87"/>
      <c r="S43" s="87"/>
      <c r="T43" s="88"/>
    </row>
  </sheetData>
  <mergeCells count="53">
    <mergeCell ref="G33:P33"/>
    <mergeCell ref="B2:J2"/>
    <mergeCell ref="B3:J3"/>
    <mergeCell ref="C27:F27"/>
    <mergeCell ref="C28:F28"/>
    <mergeCell ref="C29:F29"/>
    <mergeCell ref="C30:F30"/>
    <mergeCell ref="C31:F31"/>
    <mergeCell ref="C32:F32"/>
    <mergeCell ref="G28:P28"/>
    <mergeCell ref="G29:P29"/>
    <mergeCell ref="G30:P30"/>
    <mergeCell ref="G31:P31"/>
    <mergeCell ref="G32:P32"/>
    <mergeCell ref="K37:O37"/>
    <mergeCell ref="K38:O38"/>
    <mergeCell ref="P37:T37"/>
    <mergeCell ref="P38:T38"/>
    <mergeCell ref="B35:T35"/>
    <mergeCell ref="B7:C7"/>
    <mergeCell ref="B37:E37"/>
    <mergeCell ref="B38:E38"/>
    <mergeCell ref="F37:I37"/>
    <mergeCell ref="F38:I38"/>
    <mergeCell ref="B25:T25"/>
    <mergeCell ref="B10:O10"/>
    <mergeCell ref="Q27:T27"/>
    <mergeCell ref="Q28:T28"/>
    <mergeCell ref="Q29:T29"/>
    <mergeCell ref="Q30:T30"/>
    <mergeCell ref="Q31:T31"/>
    <mergeCell ref="Q32:T32"/>
    <mergeCell ref="Q33:T33"/>
    <mergeCell ref="C33:F33"/>
    <mergeCell ref="G27:P27"/>
    <mergeCell ref="B39:E39"/>
    <mergeCell ref="B40:E40"/>
    <mergeCell ref="B41:E41"/>
    <mergeCell ref="B42:E42"/>
    <mergeCell ref="B43:E43"/>
    <mergeCell ref="F39:I39"/>
    <mergeCell ref="F40:I40"/>
    <mergeCell ref="F41:I41"/>
    <mergeCell ref="F42:I42"/>
    <mergeCell ref="F43:I43"/>
    <mergeCell ref="P40:T40"/>
    <mergeCell ref="P42:T42"/>
    <mergeCell ref="P43:T43"/>
    <mergeCell ref="K39:O39"/>
    <mergeCell ref="K40:O40"/>
    <mergeCell ref="K41:O41"/>
    <mergeCell ref="K42:O42"/>
    <mergeCell ref="K43:O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harshlegendone@gmail.com</cp:lastModifiedBy>
  <cp:revision/>
  <dcterms:created xsi:type="dcterms:W3CDTF">2026-07-31T17:06:41Z</dcterms:created>
  <dcterms:modified xsi:type="dcterms:W3CDTF">2026-08-09T19:31:25Z</dcterms:modified>
  <cp:category/>
  <cp:contentStatus/>
</cp:coreProperties>
</file>